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Nick\Desktop\"/>
    </mc:Choice>
  </mc:AlternateContent>
  <xr:revisionPtr revIDLastSave="0" documentId="8_{9700297E-0702-4FE2-B4B6-3281B650A27B}" xr6:coauthVersionLast="47" xr6:coauthVersionMax="47" xr10:uidLastSave="{00000000-0000-0000-0000-000000000000}"/>
  <bookViews>
    <workbookView xWindow="-135" yWindow="-135" windowWidth="29070" windowHeight="15870" tabRatio="535" xr2:uid="{00000000-000D-0000-FFFF-FFFF00000000}"/>
  </bookViews>
  <sheets>
    <sheet name="ШС" sheetId="1" r:id="rId1"/>
    <sheet name="ШСАУ" sheetId="8" r:id="rId2"/>
  </sheets>
  <definedNames>
    <definedName name="_xlnm._FilterDatabase" localSheetId="0" hidden="1">ШС!$G$5:$N$5</definedName>
    <definedName name="_xlnm._FilterDatabase" localSheetId="1" hidden="1">ШСАУ!$G$1:$N$2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8" l="1"/>
  <c r="B36" i="8"/>
  <c r="B37" i="8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C36" i="8"/>
  <c r="D36" i="8"/>
  <c r="E36" i="8"/>
  <c r="E39" i="8"/>
  <c r="A52" i="8"/>
  <c r="B52" i="8"/>
  <c r="C52" i="8"/>
  <c r="D52" i="8"/>
  <c r="E52" i="8"/>
  <c r="B68" i="8"/>
  <c r="C68" i="8"/>
  <c r="D68" i="8"/>
  <c r="E68" i="8"/>
  <c r="A68" i="8"/>
  <c r="A77" i="8"/>
  <c r="A78" i="8" s="1"/>
  <c r="A79" i="8" s="1"/>
  <c r="A80" i="8" s="1"/>
  <c r="A81" i="8" s="1"/>
  <c r="A82" i="8" s="1"/>
  <c r="B77" i="8"/>
  <c r="C77" i="8"/>
  <c r="D77" i="8"/>
  <c r="E77" i="8"/>
  <c r="E78" i="8" s="1"/>
  <c r="E79" i="8" s="1"/>
  <c r="E80" i="8" s="1"/>
  <c r="E81" i="8" s="1"/>
  <c r="E82" i="8" s="1"/>
  <c r="B78" i="8"/>
  <c r="C78" i="8"/>
  <c r="D78" i="8"/>
  <c r="D79" i="8" s="1"/>
  <c r="D80" i="8" s="1"/>
  <c r="D81" i="8" s="1"/>
  <c r="D82" i="8" s="1"/>
  <c r="B79" i="8"/>
  <c r="C79" i="8"/>
  <c r="C80" i="8" s="1"/>
  <c r="C81" i="8" s="1"/>
  <c r="C82" i="8" s="1"/>
  <c r="B80" i="8"/>
  <c r="B81" i="8"/>
  <c r="B82" i="8" s="1"/>
  <c r="E76" i="8"/>
  <c r="D76" i="8"/>
  <c r="C76" i="8"/>
  <c r="B76" i="8"/>
  <c r="A76" i="8"/>
  <c r="A69" i="8"/>
  <c r="A70" i="8" s="1"/>
  <c r="A71" i="8" s="1"/>
  <c r="A72" i="8" s="1"/>
  <c r="A73" i="8" s="1"/>
  <c r="A74" i="8" s="1"/>
  <c r="B69" i="8"/>
  <c r="B70" i="8" s="1"/>
  <c r="B71" i="8" s="1"/>
  <c r="B72" i="8" s="1"/>
  <c r="B73" i="8" s="1"/>
  <c r="B74" i="8" s="1"/>
  <c r="C69" i="8"/>
  <c r="C70" i="8" s="1"/>
  <c r="C71" i="8" s="1"/>
  <c r="C72" i="8" s="1"/>
  <c r="C73" i="8" s="1"/>
  <c r="C74" i="8" s="1"/>
  <c r="D69" i="8"/>
  <c r="E69" i="8"/>
  <c r="D70" i="8"/>
  <c r="D71" i="8" s="1"/>
  <c r="D72" i="8" s="1"/>
  <c r="D73" i="8" s="1"/>
  <c r="D74" i="8" s="1"/>
  <c r="E70" i="8"/>
  <c r="E71" i="8" s="1"/>
  <c r="E72" i="8" s="1"/>
  <c r="E73" i="8" s="1"/>
  <c r="E74" i="8" s="1"/>
  <c r="E66" i="8"/>
  <c r="A66" i="8"/>
  <c r="A53" i="8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B53" i="8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C53" i="8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D53" i="8"/>
  <c r="E53" i="8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D54" i="8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E50" i="8"/>
  <c r="D50" i="8"/>
  <c r="C50" i="8"/>
  <c r="A50" i="8"/>
  <c r="E37" i="8"/>
  <c r="E38" i="8"/>
  <c r="E40" i="8" s="1"/>
  <c r="E41" i="8" s="1"/>
  <c r="E43" i="8" s="1"/>
  <c r="E44" i="8" s="1"/>
  <c r="E45" i="8" s="1"/>
  <c r="E46" i="8" s="1"/>
  <c r="E47" i="8" s="1"/>
  <c r="E48" i="8" s="1"/>
  <c r="E49" i="8" s="1"/>
  <c r="D37" i="8"/>
  <c r="D38" i="8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C37" i="8"/>
  <c r="C38" i="8"/>
  <c r="C39" i="8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A37" i="8"/>
  <c r="A38" i="8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36" i="8"/>
  <c r="E34" i="8"/>
  <c r="A34" i="8"/>
  <c r="A33" i="8"/>
  <c r="E33" i="8"/>
  <c r="D33" i="8"/>
  <c r="B33" i="8"/>
  <c r="C33" i="8"/>
  <c r="E20" i="8"/>
  <c r="D20" i="8"/>
  <c r="A20" i="8"/>
  <c r="B20" i="8"/>
  <c r="C20" i="8"/>
  <c r="B34" i="8"/>
  <c r="C34" i="8"/>
  <c r="D34" i="8"/>
  <c r="E32" i="8"/>
  <c r="E24" i="8"/>
  <c r="E21" i="8"/>
  <c r="E22" i="8"/>
  <c r="E23" i="8"/>
  <c r="E25" i="8" s="1"/>
  <c r="E26" i="8" s="1"/>
  <c r="E27" i="8" s="1"/>
  <c r="E28" i="8" s="1"/>
  <c r="E29" i="8" s="1"/>
  <c r="E30" i="8" s="1"/>
  <c r="E31" i="8" s="1"/>
  <c r="D21" i="8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C21" i="8"/>
  <c r="C22" i="8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B21" i="8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A21" i="8"/>
  <c r="E17" i="8"/>
  <c r="D9" i="8"/>
  <c r="C15" i="8"/>
  <c r="B15" i="8"/>
  <c r="A22" i="8"/>
  <c r="A23" i="8"/>
  <c r="A24" i="8" s="1"/>
  <c r="A25" i="8" s="1"/>
  <c r="A26" i="8" s="1"/>
  <c r="A27" i="8" s="1"/>
  <c r="A28" i="8" s="1"/>
  <c r="A29" i="8" s="1"/>
  <c r="A30" i="8" s="1"/>
  <c r="A31" i="8" s="1"/>
  <c r="A32" i="8" s="1"/>
  <c r="E5" i="8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8" i="8" s="1"/>
  <c r="E4" i="8"/>
  <c r="E59" i="1"/>
  <c r="D5" i="8"/>
  <c r="D6" i="8" s="1"/>
  <c r="D7" i="8" s="1"/>
  <c r="D8" i="8" s="1"/>
  <c r="D10" i="8" s="1"/>
  <c r="D11" i="8" s="1"/>
  <c r="D12" i="8" s="1"/>
  <c r="D13" i="8" s="1"/>
  <c r="D14" i="8" s="1"/>
  <c r="D15" i="8" s="1"/>
  <c r="D16" i="8" s="1"/>
  <c r="D17" i="8" s="1"/>
  <c r="D18" i="8" s="1"/>
  <c r="D4" i="8"/>
  <c r="C5" i="8"/>
  <c r="C6" i="8" s="1"/>
  <c r="C7" i="8" s="1"/>
  <c r="C8" i="8" s="1"/>
  <c r="C9" i="8" s="1"/>
  <c r="C10" i="8" s="1"/>
  <c r="C11" i="8" s="1"/>
  <c r="C12" i="8" s="1"/>
  <c r="C13" i="8" s="1"/>
  <c r="C14" i="8" s="1"/>
  <c r="C16" i="8" s="1"/>
  <c r="C17" i="8" s="1"/>
  <c r="C18" i="8" s="1"/>
  <c r="C4" i="8"/>
  <c r="B5" i="8"/>
  <c r="B6" i="8"/>
  <c r="B7" i="8" s="1"/>
  <c r="B8" i="8" s="1"/>
  <c r="B9" i="8" s="1"/>
  <c r="B10" i="8" s="1"/>
  <c r="B11" i="8" s="1"/>
  <c r="B12" i="8" s="1"/>
  <c r="B13" i="8" s="1"/>
  <c r="B14" i="8" s="1"/>
  <c r="B16" i="8" s="1"/>
  <c r="B17" i="8" s="1"/>
  <c r="B18" i="8" s="1"/>
  <c r="B4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4" i="8"/>
  <c r="E73" i="1"/>
  <c r="E74" i="1"/>
  <c r="E75" i="1"/>
  <c r="E76" i="1" s="1"/>
  <c r="E77" i="1" s="1"/>
  <c r="E78" i="1" s="1"/>
  <c r="E72" i="1"/>
  <c r="D73" i="1"/>
  <c r="D74" i="1"/>
  <c r="D75" i="1" s="1"/>
  <c r="D76" i="1" s="1"/>
  <c r="D77" i="1" s="1"/>
  <c r="D78" i="1" s="1"/>
  <c r="D72" i="1"/>
  <c r="C73" i="1"/>
  <c r="C74" i="1" s="1"/>
  <c r="C75" i="1" s="1"/>
  <c r="C76" i="1" s="1"/>
  <c r="C77" i="1" s="1"/>
  <c r="C78" i="1" s="1"/>
  <c r="C72" i="1"/>
  <c r="B73" i="1"/>
  <c r="B74" i="1"/>
  <c r="B75" i="1"/>
  <c r="B76" i="1" s="1"/>
  <c r="B77" i="1" s="1"/>
  <c r="B78" i="1" s="1"/>
  <c r="B72" i="1"/>
  <c r="A73" i="1"/>
  <c r="A74" i="1"/>
  <c r="A75" i="1" s="1"/>
  <c r="A76" i="1" s="1"/>
  <c r="A77" i="1" s="1"/>
  <c r="A78" i="1" s="1"/>
  <c r="A72" i="1"/>
  <c r="E70" i="1"/>
  <c r="E40" i="1"/>
  <c r="C40" i="1"/>
  <c r="D40" i="1"/>
  <c r="D51" i="1"/>
  <c r="E41" i="1"/>
  <c r="E42" i="1"/>
  <c r="E43" i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D41" i="1"/>
  <c r="D42" i="1"/>
  <c r="D43" i="1"/>
  <c r="D44" i="1" s="1"/>
  <c r="D45" i="1" s="1"/>
  <c r="D46" i="1" s="1"/>
  <c r="D47" i="1" s="1"/>
  <c r="D48" i="1" s="1"/>
  <c r="D49" i="1" s="1"/>
  <c r="D50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C41" i="1"/>
  <c r="C42" i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B41" i="1"/>
  <c r="B42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40" i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40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8" i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8" i="1"/>
  <c r="C9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8" i="1"/>
  <c r="B9" i="1"/>
  <c r="B10" i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8" i="1"/>
</calcChain>
</file>

<file path=xl/sharedStrings.xml><?xml version="1.0" encoding="utf-8"?>
<sst xmlns="http://schemas.openxmlformats.org/spreadsheetml/2006/main" count="702" uniqueCount="158">
  <si>
    <t>Наименование сигнала</t>
  </si>
  <si>
    <t>Резерв</t>
  </si>
  <si>
    <t>Датчик температуры</t>
  </si>
  <si>
    <t>15</t>
  </si>
  <si>
    <t>9</t>
  </si>
  <si>
    <t>Нагрев</t>
  </si>
  <si>
    <t>10</t>
  </si>
  <si>
    <t>Датчик уровня</t>
  </si>
  <si>
    <t>Температура</t>
  </si>
  <si>
    <t>Долив</t>
  </si>
  <si>
    <t>Перемешивание</t>
  </si>
  <si>
    <t>DI</t>
  </si>
  <si>
    <t>AI</t>
  </si>
  <si>
    <t>Общее оборудование</t>
  </si>
  <si>
    <t>Реле контроля напряжения</t>
  </si>
  <si>
    <t>DO</t>
  </si>
  <si>
    <t>1</t>
  </si>
  <si>
    <t>12</t>
  </si>
  <si>
    <t>13</t>
  </si>
  <si>
    <t>14</t>
  </si>
  <si>
    <t>Комментарий</t>
  </si>
  <si>
    <t>Примечание</t>
  </si>
  <si>
    <t>тип</t>
  </si>
  <si>
    <t>№ вх.</t>
  </si>
  <si>
    <t>обозн.</t>
  </si>
  <si>
    <t>адрес</t>
  </si>
  <si>
    <t>САУ включено</t>
  </si>
  <si>
    <t>Зеленый. Сигнальная колонна</t>
  </si>
  <si>
    <t>Желтый. Сигнальная колонна</t>
  </si>
  <si>
    <t>Красный. Сигнальная колонна</t>
  </si>
  <si>
    <t>Звуковая сигнализация. Сигнальная колонна</t>
  </si>
  <si>
    <t>АО</t>
  </si>
  <si>
    <t>Аварийный стоп</t>
  </si>
  <si>
    <t>Индикация. Сигнал состояния контактора питания АО. Контактор отключается аппаратно от кнопки аварийный стоп, РКН,  при выкл. САУ</t>
  </si>
  <si>
    <t>Наладочный режим</t>
  </si>
  <si>
    <t>Манометр. Подвод воды 2 категории</t>
  </si>
  <si>
    <t>Форматир. 
значение</t>
  </si>
  <si>
    <t>Доп. комментарий</t>
  </si>
  <si>
    <t>0С</t>
  </si>
  <si>
    <t>АО1</t>
  </si>
  <si>
    <t>АО2</t>
  </si>
  <si>
    <t>№ п/п</t>
  </si>
  <si>
    <t>Тех. поз.</t>
  </si>
  <si>
    <t>Ед. изм.</t>
  </si>
  <si>
    <t>"1" - работа, "0" - авария</t>
  </si>
  <si>
    <t>шкаф</t>
  </si>
  <si>
    <t>Старт/стоп. ПУ АО</t>
  </si>
  <si>
    <t>Вперед. ПУ АО</t>
  </si>
  <si>
    <t>Назад. ПУ АО</t>
  </si>
  <si>
    <t>Вверх. ПУ АО</t>
  </si>
  <si>
    <t>Вниз. ПУ АО</t>
  </si>
  <si>
    <t>Вперед</t>
  </si>
  <si>
    <t>Назад</t>
  </si>
  <si>
    <t>Быстро/медленно. Гориз. перемещение</t>
  </si>
  <si>
    <t>Вверх</t>
  </si>
  <si>
    <t>Вниз</t>
  </si>
  <si>
    <t>Быстро/медленно. Вертик. перемещение</t>
  </si>
  <si>
    <t>Маячок</t>
  </si>
  <si>
    <t>"1" - быстро, "0" - медленно</t>
  </si>
  <si>
    <t>Манометр. Подвод воздуха для барботажа</t>
  </si>
  <si>
    <t>Клапан долива</t>
  </si>
  <si>
    <t>Клапан барботажа</t>
  </si>
  <si>
    <t>Низкий уровень</t>
  </si>
  <si>
    <t>Рабочий уровень</t>
  </si>
  <si>
    <t>Высокий уровень</t>
  </si>
  <si>
    <t>Датчик занятости позиции</t>
  </si>
  <si>
    <t>Датчик наличия тележки</t>
  </si>
  <si>
    <t>"0" - работа, "1" - авария</t>
  </si>
  <si>
    <t>Pt100</t>
  </si>
  <si>
    <t>Цепь аварийной остановки. Гориз. перемещение</t>
  </si>
  <si>
    <t>Аварийный контактор</t>
  </si>
  <si>
    <t>Датчик защиты от столкновения</t>
  </si>
  <si>
    <t>Цепь аварийной остановки. Вертик. Перемещение</t>
  </si>
  <si>
    <t>Датчик верхнего положения каретки</t>
  </si>
  <si>
    <t>Датчик нижнего положения каретки</t>
  </si>
  <si>
    <t>"1" - есть ур. , "0" - нет ур.</t>
  </si>
  <si>
    <t>"1" - вкл. , "0" - выкл.</t>
  </si>
  <si>
    <t>"1" - наличие, "0" - отсутствие</t>
  </si>
  <si>
    <t>Предупреждение о срабатывании</t>
  </si>
  <si>
    <t>№ стр.  
эл. схем</t>
  </si>
  <si>
    <t>Версия</t>
  </si>
  <si>
    <t>Дата</t>
  </si>
  <si>
    <t>Разработал</t>
  </si>
  <si>
    <t>Утвердил</t>
  </si>
  <si>
    <t>"1" - откр.</t>
  </si>
  <si>
    <t>"1" - заткр.</t>
  </si>
  <si>
    <t>"1" - актив., "0" - неактив.</t>
  </si>
  <si>
    <t>Включение пульта управления</t>
  </si>
  <si>
    <t>А4.4</t>
  </si>
  <si>
    <t>А4.5</t>
  </si>
  <si>
    <t>А4.6</t>
  </si>
  <si>
    <t>А4.7</t>
  </si>
  <si>
    <t>А4.8</t>
  </si>
  <si>
    <t>Кнопка без фиксации</t>
  </si>
  <si>
    <t>Переключатель с фиксацией</t>
  </si>
  <si>
    <t>Кнопка с фиксацией</t>
  </si>
  <si>
    <t>Контроль перегрева двигателя</t>
  </si>
  <si>
    <t>Концевые выключатели аварийного положения</t>
  </si>
  <si>
    <t>Заказ</t>
  </si>
  <si>
    <t>Заказчик</t>
  </si>
  <si>
    <t>Название</t>
  </si>
  <si>
    <t>Обозначение</t>
  </si>
  <si>
    <t>"1" - готов , "0" - не готов</t>
  </si>
  <si>
    <t>5</t>
  </si>
  <si>
    <t>4</t>
  </si>
  <si>
    <t>Повтор ввода. Пульт управления</t>
  </si>
  <si>
    <t>Повторный ввод последнего ТП с пульта управления. Кнопка без фиксации</t>
  </si>
  <si>
    <t>Датчик открытого положения лотка</t>
  </si>
  <si>
    <t>Датчик закрытого положения лотка</t>
  </si>
  <si>
    <t>Лоток открыть</t>
  </si>
  <si>
    <t>Лоток закрыть</t>
  </si>
  <si>
    <t>Открыть/закрыть лоток. ПУ АО</t>
  </si>
  <si>
    <t>Термисторное реле. Гориз. и вертик. перемещение</t>
  </si>
  <si>
    <t>Датчик вертикального перемещения</t>
  </si>
  <si>
    <t>Энкодер</t>
  </si>
  <si>
    <t>Индикация повтора ввода. Пульт управления</t>
  </si>
  <si>
    <t>№ п/п
основ. поз.</t>
  </si>
  <si>
    <t>2</t>
  </si>
  <si>
    <t>11</t>
  </si>
  <si>
    <t>all</t>
  </si>
  <si>
    <t>cabinet</t>
  </si>
  <si>
    <t>numpp</t>
  </si>
  <si>
    <t>lables</t>
  </si>
  <si>
    <t>type</t>
  </si>
  <si>
    <t>numsignal</t>
  </si>
  <si>
    <t>namesignal</t>
  </si>
  <si>
    <t>numposition</t>
  </si>
  <si>
    <t>deviceduplicate</t>
  </si>
  <si>
    <t>numppduplicate</t>
  </si>
  <si>
    <t>format</t>
  </si>
  <si>
    <t>unit</t>
  </si>
  <si>
    <t>page</t>
  </si>
  <si>
    <t>device</t>
  </si>
  <si>
    <t>address</t>
  </si>
  <si>
    <t>note</t>
  </si>
  <si>
    <t>comment</t>
  </si>
  <si>
    <t>numppmodule</t>
  </si>
  <si>
    <t xml:space="preserve">DO </t>
  </si>
  <si>
    <t>Устройство</t>
  </si>
  <si>
    <t>№ п/п поз. дублир. сигнала</t>
  </si>
  <si>
    <t>Устройство поз. дублир. Сигнала</t>
  </si>
  <si>
    <t>V1.0</t>
  </si>
  <si>
    <t>А5</t>
  </si>
  <si>
    <t>А6</t>
  </si>
  <si>
    <t>А7</t>
  </si>
  <si>
    <t>Индикация выгрузка завершена. Пульт управления</t>
  </si>
  <si>
    <t>Выгрузка завершена. Пульт управления</t>
  </si>
  <si>
    <t>Отправка пустой подвески на поз. загрузки. Кнопка без фиксации</t>
  </si>
  <si>
    <t>АО1, АО2</t>
  </si>
  <si>
    <t>1, 2</t>
  </si>
  <si>
    <t>Датчик наличия подвески</t>
  </si>
  <si>
    <t>Устройство поз. дублир. сигнала</t>
  </si>
  <si>
    <t>ШСАУ</t>
  </si>
  <si>
    <t>ШС</t>
  </si>
  <si>
    <t>192.168.10.70</t>
  </si>
  <si>
    <t>№ п/п
основ. поз./устр.</t>
  </si>
  <si>
    <t>№ п/п поз./устр. дублир. сигнала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</si>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</sst>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indexed="8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>
      <alignment horizontal="center"/>
    </xf>
    <xf numFmtId="49" fontId="0" fillId="0" borderId="7" xfId="0" applyNumberFormat="1" applyFill="1" applyBorder="1" applyAlignment="1">
      <alignment horizontal="center" vertical="center"/>
    </xf>
    <xf numFmtId="0" fontId="0" fillId="0" borderId="26" xfId="0" applyBorder="1"/>
    <xf numFmtId="0" fontId="6" fillId="0" borderId="26" xfId="0" applyFont="1" applyBorder="1"/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6" fillId="0" borderId="0" xfId="0" applyFont="1"/>
    <xf numFmtId="0" fontId="0" fillId="0" borderId="26" xfId="0" applyFont="1" applyBorder="1"/>
    <xf numFmtId="0" fontId="0" fillId="0" borderId="26" xfId="0" applyFont="1" applyFill="1" applyBorder="1"/>
    <xf numFmtId="0" fontId="0" fillId="0" borderId="3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6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49" fontId="0" fillId="0" borderId="37" xfId="0" applyNumberForma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0" fillId="5" borderId="10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5" borderId="37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/>
    </xf>
    <xf numFmtId="49" fontId="0" fillId="5" borderId="37" xfId="0" applyNumberFormat="1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6" borderId="8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38" xfId="0" applyBorder="1"/>
    <xf numFmtId="0" fontId="0" fillId="0" borderId="39" xfId="0" applyBorder="1"/>
    <xf numFmtId="0" fontId="0" fillId="0" borderId="38" xfId="0" applyFont="1" applyBorder="1"/>
    <xf numFmtId="0" fontId="0" fillId="5" borderId="11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4" xfId="0" applyFont="1" applyFill="1" applyBorder="1" applyAlignment="1">
      <alignment horizontal="center"/>
    </xf>
    <xf numFmtId="0" fontId="0" fillId="5" borderId="25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6" borderId="28" xfId="0" applyFont="1" applyFill="1" applyBorder="1" applyAlignment="1">
      <alignment horizontal="center"/>
    </xf>
    <xf numFmtId="0" fontId="0" fillId="6" borderId="17" xfId="0" applyFont="1" applyFill="1" applyBorder="1" applyAlignment="1">
      <alignment horizontal="center"/>
    </xf>
    <xf numFmtId="0" fontId="0" fillId="6" borderId="29" xfId="0" applyFont="1" applyFill="1" applyBorder="1" applyAlignment="1">
      <alignment horizontal="center"/>
    </xf>
    <xf numFmtId="2" fontId="9" fillId="4" borderId="15" xfId="0" applyNumberFormat="1" applyFont="1" applyFill="1" applyBorder="1" applyAlignment="1">
      <alignment vertical="center"/>
    </xf>
    <xf numFmtId="2" fontId="9" fillId="4" borderId="22" xfId="0" applyNumberFormat="1" applyFont="1" applyFill="1" applyBorder="1" applyAlignment="1">
      <alignment vertical="center"/>
    </xf>
    <xf numFmtId="49" fontId="0" fillId="0" borderId="10" xfId="0" applyNumberFormat="1" applyFill="1" applyBorder="1" applyAlignment="1">
      <alignment horizontal="center" vertical="center"/>
    </xf>
    <xf numFmtId="49" fontId="0" fillId="0" borderId="11" xfId="0" applyNumberFormat="1" applyFill="1" applyBorder="1" applyAlignment="1">
      <alignment horizontal="center"/>
    </xf>
    <xf numFmtId="49" fontId="0" fillId="0" borderId="24" xfId="0" applyNumberForma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35" xfId="0" applyNumberForma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49" fontId="0" fillId="5" borderId="38" xfId="0" applyNumberFormat="1" applyFill="1" applyBorder="1" applyAlignment="1">
      <alignment horizontal="center"/>
    </xf>
    <xf numFmtId="49" fontId="0" fillId="5" borderId="6" xfId="0" applyNumberFormat="1" applyFont="1" applyFill="1" applyBorder="1" applyAlignment="1">
      <alignment horizontal="center"/>
    </xf>
    <xf numFmtId="49" fontId="3" fillId="5" borderId="6" xfId="0" applyNumberFormat="1" applyFont="1" applyFill="1" applyBorder="1" applyAlignment="1">
      <alignment horizontal="center" vertical="center"/>
    </xf>
    <xf numFmtId="0" fontId="0" fillId="6" borderId="30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49" fontId="0" fillId="5" borderId="10" xfId="0" applyNumberForma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49" fontId="3" fillId="0" borderId="1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30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20" xfId="0" applyNumberFormat="1" applyFont="1" applyFill="1" applyBorder="1" applyAlignment="1">
      <alignment horizontal="center"/>
    </xf>
    <xf numFmtId="49" fontId="0" fillId="6" borderId="40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2" fontId="10" fillId="0" borderId="8" xfId="0" applyNumberFormat="1" applyFont="1" applyFill="1" applyBorder="1" applyAlignment="1">
      <alignment horizontal="center" vertical="center" wrapText="1"/>
    </xf>
    <xf numFmtId="2" fontId="10" fillId="0" borderId="16" xfId="0" applyNumberFormat="1" applyFont="1" applyFill="1" applyBorder="1" applyAlignment="1">
      <alignment horizontal="center" vertical="center" wrapText="1"/>
    </xf>
    <xf numFmtId="2" fontId="4" fillId="0" borderId="16" xfId="0" applyNumberFormat="1" applyFont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 wrapText="1"/>
    </xf>
    <xf numFmtId="2" fontId="10" fillId="0" borderId="18" xfId="0" applyNumberFormat="1" applyFont="1" applyFill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41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6" borderId="42" xfId="0" applyNumberFormat="1" applyFont="1" applyFill="1" applyBorder="1" applyAlignment="1">
      <alignment horizontal="center" vertical="center" wrapText="1"/>
    </xf>
    <xf numFmtId="49" fontId="4" fillId="6" borderId="43" xfId="0" applyNumberFormat="1" applyFont="1" applyFill="1" applyBorder="1" applyAlignment="1">
      <alignment horizontal="center" vertical="center" wrapText="1"/>
    </xf>
    <xf numFmtId="49" fontId="0" fillId="6" borderId="19" xfId="0" applyNumberFormat="1" applyFill="1" applyBorder="1" applyAlignment="1">
      <alignment horizontal="center"/>
    </xf>
    <xf numFmtId="49" fontId="0" fillId="6" borderId="19" xfId="0" applyNumberFormat="1" applyFill="1" applyBorder="1" applyAlignment="1">
      <alignment horizontal="center" vertical="center"/>
    </xf>
    <xf numFmtId="49" fontId="0" fillId="6" borderId="43" xfId="0" applyNumberForma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/>
    </xf>
    <xf numFmtId="49" fontId="0" fillId="5" borderId="12" xfId="0" applyNumberFormat="1" applyFill="1" applyBorder="1" applyAlignment="1">
      <alignment horizontal="center"/>
    </xf>
    <xf numFmtId="49" fontId="0" fillId="0" borderId="24" xfId="0" applyNumberFormat="1" applyFill="1" applyBorder="1" applyAlignment="1">
      <alignment horizontal="center"/>
    </xf>
    <xf numFmtId="49" fontId="0" fillId="0" borderId="34" xfId="0" applyNumberFormat="1" applyFill="1" applyBorder="1" applyAlignment="1">
      <alignment horizontal="center"/>
    </xf>
    <xf numFmtId="2" fontId="4" fillId="0" borderId="28" xfId="0" applyNumberFormat="1" applyFont="1" applyBorder="1" applyAlignment="1">
      <alignment horizontal="center" vertical="center" wrapText="1"/>
    </xf>
    <xf numFmtId="2" fontId="4" fillId="0" borderId="29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6" borderId="29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49" fontId="4" fillId="6" borderId="9" xfId="0" applyNumberFormat="1" applyFont="1" applyFill="1" applyBorder="1" applyAlignment="1">
      <alignment horizontal="center" vertical="center" wrapText="1"/>
    </xf>
    <xf numFmtId="49" fontId="4" fillId="6" borderId="41" xfId="0" applyNumberFormat="1" applyFont="1" applyFill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9" fontId="0" fillId="6" borderId="8" xfId="0" applyNumberFormat="1" applyFill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24" xfId="0" applyBorder="1"/>
    <xf numFmtId="0" fontId="0" fillId="0" borderId="4" xfId="0" applyBorder="1"/>
    <xf numFmtId="0" fontId="0" fillId="0" borderId="5" xfId="0" applyBorder="1"/>
    <xf numFmtId="0" fontId="0" fillId="0" borderId="4" xfId="0" applyFont="1" applyBorder="1"/>
    <xf numFmtId="49" fontId="1" fillId="0" borderId="1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0" fillId="5" borderId="45" xfId="0" applyNumberFormat="1" applyFill="1" applyBorder="1" applyAlignment="1">
      <alignment horizontal="center"/>
    </xf>
    <xf numFmtId="49" fontId="0" fillId="5" borderId="11" xfId="0" applyNumberForma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49" fontId="0" fillId="5" borderId="5" xfId="0" applyNumberForma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49" fontId="3" fillId="0" borderId="21" xfId="0" applyNumberFormat="1" applyFont="1" applyFill="1" applyBorder="1" applyAlignment="1">
      <alignment horizontal="center" vertical="center"/>
    </xf>
    <xf numFmtId="49" fontId="3" fillId="5" borderId="37" xfId="0" applyNumberFormat="1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/>
    </xf>
    <xf numFmtId="49" fontId="3" fillId="0" borderId="5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0" fillId="5" borderId="11" xfId="0" applyNumberFormat="1" applyFill="1" applyBorder="1" applyAlignment="1">
      <alignment horizontal="center" vertical="center"/>
    </xf>
    <xf numFmtId="49" fontId="0" fillId="6" borderId="42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0" xfId="0" applyBorder="1"/>
    <xf numFmtId="49" fontId="0" fillId="0" borderId="0" xfId="0" applyNumberFormat="1" applyFill="1" applyBorder="1" applyAlignment="1">
      <alignment horizontal="left"/>
    </xf>
    <xf numFmtId="0" fontId="6" fillId="0" borderId="0" xfId="0" applyFont="1" applyBorder="1"/>
    <xf numFmtId="49" fontId="0" fillId="0" borderId="0" xfId="0" applyNumberFormat="1" applyFill="1" applyBorder="1" applyAlignment="1">
      <alignment horizontal="center"/>
    </xf>
    <xf numFmtId="49" fontId="0" fillId="0" borderId="26" xfId="0" applyNumberFormat="1" applyFill="1" applyBorder="1" applyAlignment="1">
      <alignment horizontal="center"/>
    </xf>
    <xf numFmtId="49" fontId="0" fillId="0" borderId="26" xfId="0" applyNumberFormat="1" applyBorder="1" applyAlignment="1">
      <alignment horizontal="left"/>
    </xf>
    <xf numFmtId="49" fontId="0" fillId="0" borderId="26" xfId="0" applyNumberFormat="1" applyFill="1" applyBorder="1" applyAlignment="1">
      <alignment horizontal="left"/>
    </xf>
    <xf numFmtId="0" fontId="4" fillId="0" borderId="37" xfId="0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right" vertical="center" wrapText="1"/>
    </xf>
    <xf numFmtId="0" fontId="9" fillId="4" borderId="3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14" fontId="9" fillId="4" borderId="3" xfId="0" applyNumberFormat="1" applyFont="1" applyFill="1" applyBorder="1" applyAlignment="1">
      <alignment horizontal="left" vertical="center"/>
    </xf>
    <xf numFmtId="14" fontId="9" fillId="4" borderId="19" xfId="0" applyNumberFormat="1" applyFont="1" applyFill="1" applyBorder="1" applyAlignment="1">
      <alignment horizontal="left" vertical="center"/>
    </xf>
    <xf numFmtId="14" fontId="9" fillId="4" borderId="33" xfId="0" applyNumberFormat="1" applyFont="1" applyFill="1" applyBorder="1" applyAlignment="1">
      <alignment horizontal="left" vertical="center"/>
    </xf>
    <xf numFmtId="14" fontId="9" fillId="4" borderId="32" xfId="0" applyNumberFormat="1" applyFont="1" applyFill="1" applyBorder="1" applyAlignment="1">
      <alignment horizontal="left" vertical="center"/>
    </xf>
    <xf numFmtId="1" fontId="8" fillId="0" borderId="0" xfId="0" applyNumberFormat="1" applyFont="1" applyBorder="1" applyAlignment="1">
      <alignment horizontal="center" vertical="center" wrapText="1"/>
    </xf>
    <xf numFmtId="1" fontId="8" fillId="0" borderId="27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S78"/>
  <sheetViews>
    <sheetView tabSelected="1" zoomScale="85" zoomScaleNormal="85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4" sqref="M4:N4"/>
    </sheetView>
  </sheetViews>
  <sheetFormatPr defaultRowHeight="15" outlineLevelCol="1" x14ac:dyDescent="0.25"/>
  <cols>
    <col min="6" max="6" width="9.85546875" customWidth="1"/>
    <col min="7" max="7" width="21.85546875" bestFit="1" customWidth="1"/>
    <col min="8" max="8" width="47.28515625" bestFit="1" customWidth="1"/>
    <col min="9" max="9" width="15" style="3" customWidth="1"/>
    <col min="10" max="10" width="13.28515625" style="2" bestFit="1" customWidth="1"/>
    <col min="11" max="11" width="19.5703125" style="2" customWidth="1"/>
    <col min="12" max="12" width="29.7109375" style="2" customWidth="1"/>
    <col min="13" max="13" width="17.5703125" style="2" customWidth="1"/>
    <col min="14" max="14" width="14.85546875" style="2" bestFit="1" customWidth="1"/>
    <col min="15" max="15" width="11.140625" customWidth="1" outlineLevel="1"/>
    <col min="16" max="16" width="31.28515625" customWidth="1" outlineLevel="1"/>
    <col min="17" max="17" width="99" customWidth="1"/>
    <col min="18" max="18" width="60" hidden="1" customWidth="1" outlineLevel="1"/>
    <col min="19" max="19" width="8.85546875" collapsed="1"/>
  </cols>
  <sheetData>
    <row r="1" spans="1:18" ht="14.45" customHeight="1" x14ac:dyDescent="0.25">
      <c r="A1" s="193" t="s">
        <v>98</v>
      </c>
      <c r="B1" s="193"/>
      <c r="C1" s="193"/>
      <c r="D1" s="200" t="s">
        <v>157</v>
      </c>
      <c r="E1" s="200"/>
      <c r="F1" s="200"/>
      <c r="G1" s="200"/>
      <c r="H1" s="200"/>
      <c r="I1" s="200"/>
      <c r="J1" s="200"/>
      <c r="K1" s="201"/>
      <c r="L1" s="76" t="s">
        <v>80</v>
      </c>
      <c r="M1" s="194" t="s">
        <v>141</v>
      </c>
      <c r="N1" s="195"/>
    </row>
    <row r="2" spans="1:18" ht="15" customHeight="1" x14ac:dyDescent="0.25">
      <c r="A2" s="193" t="s">
        <v>99</v>
      </c>
      <c r="B2" s="193"/>
      <c r="C2" s="193"/>
      <c r="D2" s="200" t="s">
        <v>157</v>
      </c>
      <c r="E2" s="200"/>
      <c r="F2" s="200"/>
      <c r="G2" s="200"/>
      <c r="H2" s="200"/>
      <c r="I2" s="200"/>
      <c r="J2" s="200"/>
      <c r="K2" s="201"/>
      <c r="L2" s="76" t="s">
        <v>81</v>
      </c>
      <c r="M2" s="196" t="s">
        <v>157</v>
      </c>
      <c r="N2" s="197"/>
    </row>
    <row r="3" spans="1:18" ht="15" customHeight="1" x14ac:dyDescent="0.25">
      <c r="A3" s="193" t="s">
        <v>100</v>
      </c>
      <c r="B3" s="193"/>
      <c r="C3" s="193"/>
      <c r="D3" s="200" t="s">
        <v>157</v>
      </c>
      <c r="E3" s="200"/>
      <c r="F3" s="200"/>
      <c r="G3" s="200"/>
      <c r="H3" s="200"/>
      <c r="I3" s="200"/>
      <c r="J3" s="200"/>
      <c r="K3" s="201"/>
      <c r="L3" s="76" t="s">
        <v>82</v>
      </c>
      <c r="M3" s="196" t="s">
        <v>157</v>
      </c>
      <c r="N3" s="197"/>
    </row>
    <row r="4" spans="1:18" ht="15.75" customHeight="1" thickBot="1" x14ac:dyDescent="0.3">
      <c r="A4" s="193" t="s">
        <v>101</v>
      </c>
      <c r="B4" s="193"/>
      <c r="C4" s="193"/>
      <c r="D4" s="200" t="s">
        <v>157</v>
      </c>
      <c r="E4" s="200"/>
      <c r="F4" s="200"/>
      <c r="G4" s="200"/>
      <c r="H4" s="200"/>
      <c r="I4" s="200"/>
      <c r="J4" s="200"/>
      <c r="K4" s="201"/>
      <c r="L4" s="77" t="s">
        <v>83</v>
      </c>
      <c r="M4" s="198" t="s">
        <v>157</v>
      </c>
      <c r="N4" s="199"/>
    </row>
    <row r="5" spans="1:18" s="93" customFormat="1" ht="30" x14ac:dyDescent="0.25">
      <c r="A5" s="103" t="s">
        <v>45</v>
      </c>
      <c r="B5" s="104" t="s">
        <v>41</v>
      </c>
      <c r="C5" s="105" t="s">
        <v>24</v>
      </c>
      <c r="D5" s="105" t="s">
        <v>22</v>
      </c>
      <c r="E5" s="105" t="s">
        <v>25</v>
      </c>
      <c r="F5" s="109" t="s">
        <v>23</v>
      </c>
      <c r="G5" s="114" t="s">
        <v>138</v>
      </c>
      <c r="H5" s="116" t="s">
        <v>0</v>
      </c>
      <c r="I5" s="118" t="s">
        <v>42</v>
      </c>
      <c r="J5" s="125" t="s">
        <v>116</v>
      </c>
      <c r="K5" s="120" t="s">
        <v>139</v>
      </c>
      <c r="L5" s="149" t="s">
        <v>140</v>
      </c>
      <c r="M5" s="118" t="s">
        <v>36</v>
      </c>
      <c r="N5" s="151" t="s">
        <v>43</v>
      </c>
      <c r="O5" s="143" t="s">
        <v>79</v>
      </c>
      <c r="P5" s="156" t="s">
        <v>21</v>
      </c>
      <c r="Q5" s="146" t="s">
        <v>20</v>
      </c>
      <c r="R5" s="94" t="s">
        <v>37</v>
      </c>
    </row>
    <row r="6" spans="1:18" s="93" customFormat="1" ht="30.75" thickBot="1" x14ac:dyDescent="0.3">
      <c r="A6" s="106" t="s">
        <v>120</v>
      </c>
      <c r="B6" s="107" t="s">
        <v>136</v>
      </c>
      <c r="C6" s="108" t="s">
        <v>122</v>
      </c>
      <c r="D6" s="108" t="s">
        <v>123</v>
      </c>
      <c r="E6" s="108" t="s">
        <v>133</v>
      </c>
      <c r="F6" s="110" t="s">
        <v>124</v>
      </c>
      <c r="G6" s="115" t="s">
        <v>132</v>
      </c>
      <c r="H6" s="117" t="s">
        <v>125</v>
      </c>
      <c r="I6" s="119" t="s">
        <v>126</v>
      </c>
      <c r="J6" s="126" t="s">
        <v>121</v>
      </c>
      <c r="K6" s="121" t="s">
        <v>128</v>
      </c>
      <c r="L6" s="150" t="s">
        <v>127</v>
      </c>
      <c r="M6" s="153" t="s">
        <v>129</v>
      </c>
      <c r="N6" s="152" t="s">
        <v>130</v>
      </c>
      <c r="O6" s="144" t="s">
        <v>131</v>
      </c>
      <c r="P6" s="192" t="s">
        <v>134</v>
      </c>
      <c r="Q6" s="147" t="s">
        <v>135</v>
      </c>
      <c r="R6" s="145"/>
    </row>
    <row r="7" spans="1:18" ht="14.45" customHeight="1" x14ac:dyDescent="0.25">
      <c r="A7" s="44" t="s">
        <v>153</v>
      </c>
      <c r="B7" s="45">
        <v>1</v>
      </c>
      <c r="C7" s="45" t="s">
        <v>142</v>
      </c>
      <c r="D7" s="46" t="s">
        <v>137</v>
      </c>
      <c r="E7" s="45">
        <v>181</v>
      </c>
      <c r="F7" s="113">
        <v>1</v>
      </c>
      <c r="G7" s="68" t="s">
        <v>8</v>
      </c>
      <c r="H7" s="157" t="s">
        <v>5</v>
      </c>
      <c r="I7" s="40" t="s">
        <v>117</v>
      </c>
      <c r="J7" s="182" t="s">
        <v>117</v>
      </c>
      <c r="K7" s="183"/>
      <c r="L7" s="73"/>
      <c r="M7" s="41"/>
      <c r="N7" s="30"/>
      <c r="O7" s="22">
        <v>9</v>
      </c>
      <c r="P7" s="185"/>
      <c r="Q7" s="189"/>
      <c r="R7" s="13"/>
    </row>
    <row r="8" spans="1:18" ht="14.45" customHeight="1" x14ac:dyDescent="0.25">
      <c r="A8" s="1" t="str">
        <f>A7</f>
        <v>ШС</v>
      </c>
      <c r="B8" s="35">
        <f>B7</f>
        <v>1</v>
      </c>
      <c r="C8" s="35" t="str">
        <f>C7</f>
        <v>А5</v>
      </c>
      <c r="D8" s="36" t="str">
        <f>D7</f>
        <v xml:space="preserve">DO </v>
      </c>
      <c r="E8" s="35">
        <f>E7</f>
        <v>181</v>
      </c>
      <c r="F8" s="111">
        <v>2</v>
      </c>
      <c r="G8" s="69" t="s">
        <v>8</v>
      </c>
      <c r="H8" s="158" t="s">
        <v>5</v>
      </c>
      <c r="I8" s="31" t="s">
        <v>118</v>
      </c>
      <c r="J8" s="127" t="s">
        <v>118</v>
      </c>
      <c r="K8" s="122"/>
      <c r="L8" s="74"/>
      <c r="M8" s="28"/>
      <c r="N8" s="17"/>
      <c r="O8" s="99">
        <v>9</v>
      </c>
      <c r="P8" s="185"/>
      <c r="Q8" s="189"/>
      <c r="R8" s="13"/>
    </row>
    <row r="9" spans="1:18" ht="14.45" customHeight="1" x14ac:dyDescent="0.25">
      <c r="A9" s="1" t="str">
        <f t="shared" ref="A9:A38" si="0">A8</f>
        <v>ШС</v>
      </c>
      <c r="B9" s="35">
        <f t="shared" ref="B9:B38" si="1">B8</f>
        <v>1</v>
      </c>
      <c r="C9" s="35" t="str">
        <f t="shared" ref="C9:C38" si="2">C8</f>
        <v>А5</v>
      </c>
      <c r="D9" s="36" t="str">
        <f t="shared" ref="D9:D38" si="3">D8</f>
        <v xml:space="preserve">DO </v>
      </c>
      <c r="E9" s="35">
        <f t="shared" ref="E9:E38" si="4">E8</f>
        <v>181</v>
      </c>
      <c r="F9" s="111">
        <v>3</v>
      </c>
      <c r="G9" s="69" t="s">
        <v>8</v>
      </c>
      <c r="H9" s="158" t="s">
        <v>5</v>
      </c>
      <c r="I9" s="31" t="s">
        <v>18</v>
      </c>
      <c r="J9" s="127" t="s">
        <v>18</v>
      </c>
      <c r="K9" s="122"/>
      <c r="L9" s="74"/>
      <c r="M9" s="28"/>
      <c r="N9" s="17"/>
      <c r="O9" s="99">
        <v>9</v>
      </c>
      <c r="P9" s="185"/>
      <c r="Q9" s="189"/>
      <c r="R9" s="13"/>
    </row>
    <row r="10" spans="1:18" ht="14.45" customHeight="1" x14ac:dyDescent="0.25">
      <c r="A10" s="1" t="str">
        <f t="shared" si="0"/>
        <v>ШС</v>
      </c>
      <c r="B10" s="35">
        <f t="shared" si="1"/>
        <v>1</v>
      </c>
      <c r="C10" s="35" t="str">
        <f t="shared" si="2"/>
        <v>А5</v>
      </c>
      <c r="D10" s="36" t="str">
        <f t="shared" si="3"/>
        <v xml:space="preserve">DO </v>
      </c>
      <c r="E10" s="35">
        <f t="shared" si="4"/>
        <v>181</v>
      </c>
      <c r="F10" s="111">
        <v>4</v>
      </c>
      <c r="G10" s="69" t="s">
        <v>8</v>
      </c>
      <c r="H10" s="158" t="s">
        <v>5</v>
      </c>
      <c r="I10" s="31" t="s">
        <v>19</v>
      </c>
      <c r="J10" s="127" t="s">
        <v>19</v>
      </c>
      <c r="K10" s="122"/>
      <c r="L10" s="74"/>
      <c r="M10" s="28"/>
      <c r="N10" s="17"/>
      <c r="O10" s="99">
        <v>9</v>
      </c>
      <c r="P10" s="185"/>
      <c r="Q10" s="189"/>
      <c r="R10" s="13"/>
    </row>
    <row r="11" spans="1:18" ht="14.45" customHeight="1" x14ac:dyDescent="0.25">
      <c r="A11" s="1" t="str">
        <f t="shared" si="0"/>
        <v>ШС</v>
      </c>
      <c r="B11" s="35">
        <f t="shared" si="1"/>
        <v>1</v>
      </c>
      <c r="C11" s="35" t="str">
        <f t="shared" si="2"/>
        <v>А5</v>
      </c>
      <c r="D11" s="36" t="str">
        <f t="shared" si="3"/>
        <v xml:space="preserve">DO </v>
      </c>
      <c r="E11" s="35">
        <f t="shared" si="4"/>
        <v>181</v>
      </c>
      <c r="F11" s="111">
        <v>5</v>
      </c>
      <c r="G11" s="70" t="s">
        <v>9</v>
      </c>
      <c r="H11" s="159" t="s">
        <v>60</v>
      </c>
      <c r="I11" s="31" t="s">
        <v>103</v>
      </c>
      <c r="J11" s="127" t="s">
        <v>103</v>
      </c>
      <c r="K11" s="122"/>
      <c r="L11" s="74"/>
      <c r="M11" s="28"/>
      <c r="N11" s="17"/>
      <c r="O11" s="99">
        <v>9</v>
      </c>
      <c r="P11" s="185"/>
      <c r="Q11" s="189"/>
      <c r="R11" s="13"/>
    </row>
    <row r="12" spans="1:18" ht="14.45" customHeight="1" x14ac:dyDescent="0.25">
      <c r="A12" s="1" t="str">
        <f t="shared" si="0"/>
        <v>ШС</v>
      </c>
      <c r="B12" s="35">
        <f t="shared" si="1"/>
        <v>1</v>
      </c>
      <c r="C12" s="35" t="str">
        <f t="shared" si="2"/>
        <v>А5</v>
      </c>
      <c r="D12" s="36" t="str">
        <f t="shared" si="3"/>
        <v xml:space="preserve">DO </v>
      </c>
      <c r="E12" s="35">
        <f t="shared" si="4"/>
        <v>181</v>
      </c>
      <c r="F12" s="111">
        <v>6</v>
      </c>
      <c r="G12" s="70" t="s">
        <v>9</v>
      </c>
      <c r="H12" s="159" t="s">
        <v>60</v>
      </c>
      <c r="I12" s="31" t="s">
        <v>6</v>
      </c>
      <c r="J12" s="127" t="s">
        <v>6</v>
      </c>
      <c r="K12" s="122"/>
      <c r="L12" s="74"/>
      <c r="M12" s="28"/>
      <c r="N12" s="17"/>
      <c r="O12" s="99">
        <v>9</v>
      </c>
      <c r="P12" s="185"/>
      <c r="Q12" s="189"/>
      <c r="R12" s="13"/>
    </row>
    <row r="13" spans="1:18" ht="14.45" customHeight="1" x14ac:dyDescent="0.25">
      <c r="A13" s="1" t="str">
        <f t="shared" si="0"/>
        <v>ШС</v>
      </c>
      <c r="B13" s="35">
        <f t="shared" si="1"/>
        <v>1</v>
      </c>
      <c r="C13" s="35" t="str">
        <f t="shared" si="2"/>
        <v>А5</v>
      </c>
      <c r="D13" s="36" t="str">
        <f t="shared" si="3"/>
        <v xml:space="preserve">DO </v>
      </c>
      <c r="E13" s="35">
        <f t="shared" si="4"/>
        <v>181</v>
      </c>
      <c r="F13" s="111">
        <v>7</v>
      </c>
      <c r="G13" s="70" t="s">
        <v>9</v>
      </c>
      <c r="H13" s="159" t="s">
        <v>60</v>
      </c>
      <c r="I13" s="31" t="s">
        <v>118</v>
      </c>
      <c r="J13" s="127" t="s">
        <v>118</v>
      </c>
      <c r="K13" s="122"/>
      <c r="L13" s="74"/>
      <c r="M13" s="28"/>
      <c r="N13" s="17"/>
      <c r="O13" s="99">
        <v>9</v>
      </c>
      <c r="P13" s="185"/>
      <c r="Q13" s="189"/>
      <c r="R13" s="13"/>
    </row>
    <row r="14" spans="1:18" ht="14.45" customHeight="1" x14ac:dyDescent="0.25">
      <c r="A14" s="1" t="str">
        <f t="shared" si="0"/>
        <v>ШС</v>
      </c>
      <c r="B14" s="35">
        <f t="shared" si="1"/>
        <v>1</v>
      </c>
      <c r="C14" s="35" t="str">
        <f t="shared" si="2"/>
        <v>А5</v>
      </c>
      <c r="D14" s="36" t="str">
        <f t="shared" si="3"/>
        <v xml:space="preserve">DO </v>
      </c>
      <c r="E14" s="35">
        <f t="shared" si="4"/>
        <v>181</v>
      </c>
      <c r="F14" s="111">
        <v>8</v>
      </c>
      <c r="G14" s="70" t="s">
        <v>9</v>
      </c>
      <c r="H14" s="159" t="s">
        <v>60</v>
      </c>
      <c r="I14" s="31" t="s">
        <v>17</v>
      </c>
      <c r="J14" s="127" t="s">
        <v>17</v>
      </c>
      <c r="K14" s="122"/>
      <c r="L14" s="74"/>
      <c r="M14" s="28"/>
      <c r="N14" s="17"/>
      <c r="O14" s="99">
        <v>9</v>
      </c>
      <c r="P14" s="185"/>
      <c r="Q14" s="189"/>
      <c r="R14" s="13"/>
    </row>
    <row r="15" spans="1:18" ht="14.45" customHeight="1" x14ac:dyDescent="0.25">
      <c r="A15" s="1" t="str">
        <f t="shared" si="0"/>
        <v>ШС</v>
      </c>
      <c r="B15" s="35">
        <f t="shared" si="1"/>
        <v>1</v>
      </c>
      <c r="C15" s="35" t="str">
        <f t="shared" si="2"/>
        <v>А5</v>
      </c>
      <c r="D15" s="36" t="str">
        <f t="shared" si="3"/>
        <v xml:space="preserve">DO </v>
      </c>
      <c r="E15" s="35">
        <f t="shared" si="4"/>
        <v>181</v>
      </c>
      <c r="F15" s="111">
        <v>9</v>
      </c>
      <c r="G15" s="70" t="s">
        <v>9</v>
      </c>
      <c r="H15" s="159" t="s">
        <v>60</v>
      </c>
      <c r="I15" s="31" t="s">
        <v>18</v>
      </c>
      <c r="J15" s="127" t="s">
        <v>18</v>
      </c>
      <c r="K15" s="122"/>
      <c r="L15" s="74"/>
      <c r="M15" s="28"/>
      <c r="N15" s="17"/>
      <c r="O15" s="99">
        <v>9</v>
      </c>
      <c r="P15" s="186"/>
      <c r="Q15" s="190"/>
      <c r="R15" s="13"/>
    </row>
    <row r="16" spans="1:18" ht="14.45" customHeight="1" x14ac:dyDescent="0.25">
      <c r="A16" s="1" t="str">
        <f t="shared" si="0"/>
        <v>ШС</v>
      </c>
      <c r="B16" s="35">
        <f t="shared" si="1"/>
        <v>1</v>
      </c>
      <c r="C16" s="35" t="str">
        <f t="shared" si="2"/>
        <v>А5</v>
      </c>
      <c r="D16" s="36" t="str">
        <f t="shared" si="3"/>
        <v xml:space="preserve">DO </v>
      </c>
      <c r="E16" s="35">
        <f t="shared" si="4"/>
        <v>181</v>
      </c>
      <c r="F16" s="111">
        <v>10</v>
      </c>
      <c r="G16" s="70" t="s">
        <v>9</v>
      </c>
      <c r="H16" s="159" t="s">
        <v>60</v>
      </c>
      <c r="I16" s="31" t="s">
        <v>19</v>
      </c>
      <c r="J16" s="127" t="s">
        <v>19</v>
      </c>
      <c r="K16" s="123"/>
      <c r="L16" s="74"/>
      <c r="M16" s="28"/>
      <c r="N16" s="17"/>
      <c r="O16" s="99">
        <v>9</v>
      </c>
      <c r="P16" s="186"/>
      <c r="Q16" s="190"/>
      <c r="R16" s="13"/>
    </row>
    <row r="17" spans="1:18" ht="14.45" customHeight="1" x14ac:dyDescent="0.25">
      <c r="A17" s="1" t="str">
        <f t="shared" si="0"/>
        <v>ШС</v>
      </c>
      <c r="B17" s="35">
        <f t="shared" si="1"/>
        <v>1</v>
      </c>
      <c r="C17" s="35" t="str">
        <f t="shared" si="2"/>
        <v>А5</v>
      </c>
      <c r="D17" s="36" t="str">
        <f t="shared" si="3"/>
        <v xml:space="preserve">DO </v>
      </c>
      <c r="E17" s="35">
        <f t="shared" si="4"/>
        <v>181</v>
      </c>
      <c r="F17" s="111">
        <v>11</v>
      </c>
      <c r="G17" s="70" t="s">
        <v>10</v>
      </c>
      <c r="H17" s="159" t="s">
        <v>61</v>
      </c>
      <c r="I17" s="31" t="s">
        <v>104</v>
      </c>
      <c r="J17" s="127" t="s">
        <v>104</v>
      </c>
      <c r="K17" s="123"/>
      <c r="L17" s="74"/>
      <c r="M17" s="28"/>
      <c r="N17" s="17"/>
      <c r="O17" s="99">
        <v>9</v>
      </c>
      <c r="P17" s="185"/>
      <c r="Q17" s="189"/>
      <c r="R17" s="13"/>
    </row>
    <row r="18" spans="1:18" ht="14.45" customHeight="1" x14ac:dyDescent="0.25">
      <c r="A18" s="1" t="str">
        <f t="shared" si="0"/>
        <v>ШС</v>
      </c>
      <c r="B18" s="35">
        <f t="shared" si="1"/>
        <v>1</v>
      </c>
      <c r="C18" s="35" t="str">
        <f t="shared" si="2"/>
        <v>А5</v>
      </c>
      <c r="D18" s="36" t="str">
        <f t="shared" si="3"/>
        <v xml:space="preserve">DO </v>
      </c>
      <c r="E18" s="35">
        <f t="shared" si="4"/>
        <v>181</v>
      </c>
      <c r="F18" s="111">
        <v>12</v>
      </c>
      <c r="G18" s="70" t="s">
        <v>10</v>
      </c>
      <c r="H18" s="159" t="s">
        <v>61</v>
      </c>
      <c r="I18" s="31" t="s">
        <v>103</v>
      </c>
      <c r="J18" s="127" t="s">
        <v>103</v>
      </c>
      <c r="K18" s="123"/>
      <c r="L18" s="74"/>
      <c r="M18" s="28"/>
      <c r="N18" s="17"/>
      <c r="O18" s="99">
        <v>9</v>
      </c>
      <c r="P18" s="185"/>
      <c r="Q18" s="189"/>
      <c r="R18" s="13"/>
    </row>
    <row r="19" spans="1:18" ht="14.45" customHeight="1" x14ac:dyDescent="0.25">
      <c r="A19" s="1" t="str">
        <f t="shared" si="0"/>
        <v>ШС</v>
      </c>
      <c r="B19" s="35">
        <f t="shared" si="1"/>
        <v>1</v>
      </c>
      <c r="C19" s="35" t="str">
        <f t="shared" si="2"/>
        <v>А5</v>
      </c>
      <c r="D19" s="36" t="str">
        <f t="shared" si="3"/>
        <v xml:space="preserve">DO </v>
      </c>
      <c r="E19" s="35">
        <f t="shared" si="4"/>
        <v>181</v>
      </c>
      <c r="F19" s="111">
        <v>13</v>
      </c>
      <c r="G19" s="70" t="s">
        <v>10</v>
      </c>
      <c r="H19" s="159" t="s">
        <v>61</v>
      </c>
      <c r="I19" s="31" t="s">
        <v>4</v>
      </c>
      <c r="J19" s="127" t="s">
        <v>4</v>
      </c>
      <c r="K19" s="123"/>
      <c r="L19" s="74"/>
      <c r="M19" s="28"/>
      <c r="N19" s="17"/>
      <c r="O19" s="99">
        <v>9</v>
      </c>
      <c r="P19" s="185"/>
      <c r="Q19" s="189"/>
      <c r="R19" s="13"/>
    </row>
    <row r="20" spans="1:18" ht="14.45" customHeight="1" x14ac:dyDescent="0.25">
      <c r="A20" s="1" t="str">
        <f t="shared" si="0"/>
        <v>ШС</v>
      </c>
      <c r="B20" s="35">
        <f t="shared" si="1"/>
        <v>1</v>
      </c>
      <c r="C20" s="35" t="str">
        <f t="shared" si="2"/>
        <v>А5</v>
      </c>
      <c r="D20" s="36" t="str">
        <f t="shared" si="3"/>
        <v xml:space="preserve">DO </v>
      </c>
      <c r="E20" s="35">
        <f t="shared" si="4"/>
        <v>181</v>
      </c>
      <c r="F20" s="111">
        <v>14</v>
      </c>
      <c r="G20" s="70" t="s">
        <v>10</v>
      </c>
      <c r="H20" s="159" t="s">
        <v>61</v>
      </c>
      <c r="I20" s="31" t="s">
        <v>6</v>
      </c>
      <c r="J20" s="127" t="s">
        <v>6</v>
      </c>
      <c r="K20" s="123"/>
      <c r="L20" s="74"/>
      <c r="M20" s="28"/>
      <c r="N20" s="17"/>
      <c r="O20" s="99">
        <v>9</v>
      </c>
      <c r="P20" s="185"/>
      <c r="Q20" s="189"/>
      <c r="R20" s="13"/>
    </row>
    <row r="21" spans="1:18" ht="14.45" customHeight="1" x14ac:dyDescent="0.25">
      <c r="A21" s="1" t="str">
        <f t="shared" si="0"/>
        <v>ШС</v>
      </c>
      <c r="B21" s="35">
        <f t="shared" si="1"/>
        <v>1</v>
      </c>
      <c r="C21" s="35" t="str">
        <f t="shared" si="2"/>
        <v>А5</v>
      </c>
      <c r="D21" s="36" t="str">
        <f t="shared" si="3"/>
        <v xml:space="preserve">DO </v>
      </c>
      <c r="E21" s="35">
        <f t="shared" si="4"/>
        <v>181</v>
      </c>
      <c r="F21" s="111">
        <v>15</v>
      </c>
      <c r="G21" s="70" t="s">
        <v>10</v>
      </c>
      <c r="H21" s="159" t="s">
        <v>61</v>
      </c>
      <c r="I21" s="31" t="s">
        <v>118</v>
      </c>
      <c r="J21" s="127" t="s">
        <v>118</v>
      </c>
      <c r="K21" s="122"/>
      <c r="L21" s="74"/>
      <c r="M21" s="28"/>
      <c r="N21" s="17"/>
      <c r="O21" s="99">
        <v>9</v>
      </c>
      <c r="P21" s="185"/>
      <c r="Q21" s="189"/>
      <c r="R21" s="13"/>
    </row>
    <row r="22" spans="1:18" ht="14.45" customHeight="1" x14ac:dyDescent="0.25">
      <c r="A22" s="1" t="str">
        <f t="shared" si="0"/>
        <v>ШС</v>
      </c>
      <c r="B22" s="35">
        <f t="shared" si="1"/>
        <v>1</v>
      </c>
      <c r="C22" s="35" t="str">
        <f t="shared" si="2"/>
        <v>А5</v>
      </c>
      <c r="D22" s="36" t="str">
        <f t="shared" si="3"/>
        <v xml:space="preserve">DO </v>
      </c>
      <c r="E22" s="35">
        <f t="shared" si="4"/>
        <v>181</v>
      </c>
      <c r="F22" s="111">
        <v>16</v>
      </c>
      <c r="G22" s="70" t="s">
        <v>10</v>
      </c>
      <c r="H22" s="159" t="s">
        <v>61</v>
      </c>
      <c r="I22" s="31" t="s">
        <v>17</v>
      </c>
      <c r="J22" s="127" t="s">
        <v>17</v>
      </c>
      <c r="K22" s="122"/>
      <c r="L22" s="74"/>
      <c r="M22" s="28"/>
      <c r="N22" s="17"/>
      <c r="O22" s="99">
        <v>9</v>
      </c>
      <c r="P22" s="185"/>
      <c r="Q22" s="189"/>
      <c r="R22" s="13"/>
    </row>
    <row r="23" spans="1:18" ht="14.45" customHeight="1" x14ac:dyDescent="0.25">
      <c r="A23" s="1" t="str">
        <f t="shared" si="0"/>
        <v>ШС</v>
      </c>
      <c r="B23" s="35">
        <f t="shared" si="1"/>
        <v>1</v>
      </c>
      <c r="C23" s="35" t="str">
        <f t="shared" si="2"/>
        <v>А5</v>
      </c>
      <c r="D23" s="36" t="str">
        <f t="shared" si="3"/>
        <v xml:space="preserve">DO </v>
      </c>
      <c r="E23" s="35">
        <f t="shared" si="4"/>
        <v>181</v>
      </c>
      <c r="F23" s="111">
        <v>17</v>
      </c>
      <c r="G23" s="70" t="s">
        <v>10</v>
      </c>
      <c r="H23" s="159" t="s">
        <v>61</v>
      </c>
      <c r="I23" s="31" t="s">
        <v>18</v>
      </c>
      <c r="J23" s="127" t="s">
        <v>18</v>
      </c>
      <c r="K23" s="122"/>
      <c r="L23" s="74"/>
      <c r="M23" s="28"/>
      <c r="N23" s="17"/>
      <c r="O23" s="99">
        <v>10</v>
      </c>
      <c r="P23" s="185"/>
      <c r="Q23" s="189"/>
      <c r="R23" s="13"/>
    </row>
    <row r="24" spans="1:18" ht="14.45" customHeight="1" x14ac:dyDescent="0.25">
      <c r="A24" s="1" t="str">
        <f t="shared" si="0"/>
        <v>ШС</v>
      </c>
      <c r="B24" s="35">
        <f t="shared" si="1"/>
        <v>1</v>
      </c>
      <c r="C24" s="35" t="str">
        <f t="shared" si="2"/>
        <v>А5</v>
      </c>
      <c r="D24" s="36" t="str">
        <f t="shared" si="3"/>
        <v xml:space="preserve">DO </v>
      </c>
      <c r="E24" s="35">
        <f t="shared" si="4"/>
        <v>181</v>
      </c>
      <c r="F24" s="111">
        <v>18</v>
      </c>
      <c r="G24" s="69"/>
      <c r="H24" s="159" t="s">
        <v>1</v>
      </c>
      <c r="I24" s="31"/>
      <c r="J24" s="127"/>
      <c r="K24" s="122"/>
      <c r="L24" s="74"/>
      <c r="M24" s="28"/>
      <c r="N24" s="17"/>
      <c r="O24" s="99">
        <v>10</v>
      </c>
      <c r="P24" s="185"/>
      <c r="Q24" s="189"/>
      <c r="R24" s="13"/>
    </row>
    <row r="25" spans="1:18" ht="14.45" customHeight="1" x14ac:dyDescent="0.25">
      <c r="A25" s="1" t="str">
        <f t="shared" si="0"/>
        <v>ШС</v>
      </c>
      <c r="B25" s="35">
        <f t="shared" si="1"/>
        <v>1</v>
      </c>
      <c r="C25" s="35" t="str">
        <f t="shared" si="2"/>
        <v>А5</v>
      </c>
      <c r="D25" s="36" t="str">
        <f t="shared" si="3"/>
        <v xml:space="preserve">DO </v>
      </c>
      <c r="E25" s="35">
        <f t="shared" si="4"/>
        <v>181</v>
      </c>
      <c r="F25" s="111">
        <v>19</v>
      </c>
      <c r="G25" s="69" t="s">
        <v>13</v>
      </c>
      <c r="H25" s="159" t="s">
        <v>115</v>
      </c>
      <c r="I25" s="31"/>
      <c r="J25" s="127"/>
      <c r="K25" s="123"/>
      <c r="L25" s="74"/>
      <c r="M25" s="28"/>
      <c r="N25" s="17"/>
      <c r="O25" s="99">
        <v>10</v>
      </c>
      <c r="P25" s="185"/>
      <c r="Q25" s="189"/>
      <c r="R25" s="13"/>
    </row>
    <row r="26" spans="1:18" ht="14.45" customHeight="1" x14ac:dyDescent="0.25">
      <c r="A26" s="1" t="str">
        <f t="shared" si="0"/>
        <v>ШС</v>
      </c>
      <c r="B26" s="35">
        <f t="shared" si="1"/>
        <v>1</v>
      </c>
      <c r="C26" s="35" t="str">
        <f t="shared" si="2"/>
        <v>А5</v>
      </c>
      <c r="D26" s="36" t="str">
        <f t="shared" si="3"/>
        <v xml:space="preserve">DO </v>
      </c>
      <c r="E26" s="35">
        <f t="shared" si="4"/>
        <v>181</v>
      </c>
      <c r="F26" s="111">
        <v>20</v>
      </c>
      <c r="G26" s="69" t="s">
        <v>13</v>
      </c>
      <c r="H26" s="159" t="s">
        <v>145</v>
      </c>
      <c r="I26" s="31"/>
      <c r="J26" s="127"/>
      <c r="K26" s="123"/>
      <c r="L26" s="74"/>
      <c r="M26" s="28"/>
      <c r="N26" s="17"/>
      <c r="O26" s="99">
        <v>10</v>
      </c>
      <c r="P26" s="187"/>
      <c r="Q26" s="189"/>
      <c r="R26" s="13"/>
    </row>
    <row r="27" spans="1:18" ht="14.45" customHeight="1" x14ac:dyDescent="0.25">
      <c r="A27" s="1" t="str">
        <f t="shared" si="0"/>
        <v>ШС</v>
      </c>
      <c r="B27" s="35">
        <f t="shared" si="1"/>
        <v>1</v>
      </c>
      <c r="C27" s="35" t="str">
        <f t="shared" si="2"/>
        <v>А5</v>
      </c>
      <c r="D27" s="36" t="str">
        <f t="shared" si="3"/>
        <v xml:space="preserve">DO </v>
      </c>
      <c r="E27" s="35">
        <f t="shared" si="4"/>
        <v>181</v>
      </c>
      <c r="F27" s="111">
        <v>21</v>
      </c>
      <c r="G27" s="69"/>
      <c r="H27" s="159" t="s">
        <v>1</v>
      </c>
      <c r="I27" s="31"/>
      <c r="J27" s="127"/>
      <c r="K27" s="123"/>
      <c r="L27" s="74"/>
      <c r="M27" s="28"/>
      <c r="N27" s="17"/>
      <c r="O27" s="99">
        <v>10</v>
      </c>
      <c r="P27" s="185"/>
      <c r="Q27" s="189"/>
      <c r="R27" s="13"/>
    </row>
    <row r="28" spans="1:18" ht="14.45" customHeight="1" x14ac:dyDescent="0.25">
      <c r="A28" s="1" t="str">
        <f t="shared" si="0"/>
        <v>ШС</v>
      </c>
      <c r="B28" s="35">
        <f t="shared" si="1"/>
        <v>1</v>
      </c>
      <c r="C28" s="35" t="str">
        <f t="shared" si="2"/>
        <v>А5</v>
      </c>
      <c r="D28" s="36" t="str">
        <f t="shared" si="3"/>
        <v xml:space="preserve">DO </v>
      </c>
      <c r="E28" s="35">
        <f t="shared" si="4"/>
        <v>181</v>
      </c>
      <c r="F28" s="111">
        <v>22</v>
      </c>
      <c r="G28" s="69"/>
      <c r="H28" s="159" t="s">
        <v>1</v>
      </c>
      <c r="I28" s="31"/>
      <c r="J28" s="127"/>
      <c r="K28" s="123"/>
      <c r="L28" s="74"/>
      <c r="M28" s="28"/>
      <c r="N28" s="17"/>
      <c r="O28" s="99">
        <v>10</v>
      </c>
      <c r="P28" s="185"/>
      <c r="Q28" s="189"/>
      <c r="R28" s="13"/>
    </row>
    <row r="29" spans="1:18" ht="14.45" customHeight="1" x14ac:dyDescent="0.25">
      <c r="A29" s="1" t="str">
        <f t="shared" si="0"/>
        <v>ШС</v>
      </c>
      <c r="B29" s="35">
        <f t="shared" si="1"/>
        <v>1</v>
      </c>
      <c r="C29" s="35" t="str">
        <f t="shared" si="2"/>
        <v>А5</v>
      </c>
      <c r="D29" s="36" t="str">
        <f t="shared" si="3"/>
        <v xml:space="preserve">DO </v>
      </c>
      <c r="E29" s="35">
        <f t="shared" si="4"/>
        <v>181</v>
      </c>
      <c r="F29" s="111">
        <v>23</v>
      </c>
      <c r="G29" s="69"/>
      <c r="H29" s="159" t="s">
        <v>1</v>
      </c>
      <c r="I29" s="31"/>
      <c r="J29" s="127"/>
      <c r="K29" s="123"/>
      <c r="L29" s="74"/>
      <c r="M29" s="28"/>
      <c r="N29" s="17"/>
      <c r="O29" s="99">
        <v>10</v>
      </c>
      <c r="P29" s="185"/>
      <c r="Q29" s="189"/>
      <c r="R29" s="13"/>
    </row>
    <row r="30" spans="1:18" ht="14.45" customHeight="1" x14ac:dyDescent="0.25">
      <c r="A30" s="1" t="str">
        <f t="shared" si="0"/>
        <v>ШС</v>
      </c>
      <c r="B30" s="35">
        <f t="shared" si="1"/>
        <v>1</v>
      </c>
      <c r="C30" s="35" t="str">
        <f t="shared" si="2"/>
        <v>А5</v>
      </c>
      <c r="D30" s="36" t="str">
        <f t="shared" si="3"/>
        <v xml:space="preserve">DO </v>
      </c>
      <c r="E30" s="35">
        <f t="shared" si="4"/>
        <v>181</v>
      </c>
      <c r="F30" s="111">
        <v>24</v>
      </c>
      <c r="G30" s="70"/>
      <c r="H30" s="159" t="s">
        <v>1</v>
      </c>
      <c r="I30" s="31"/>
      <c r="J30" s="127"/>
      <c r="K30" s="123"/>
      <c r="L30" s="74"/>
      <c r="M30" s="28"/>
      <c r="N30" s="17"/>
      <c r="O30" s="99">
        <v>10</v>
      </c>
      <c r="P30" s="185"/>
      <c r="Q30" s="189"/>
      <c r="R30" s="13"/>
    </row>
    <row r="31" spans="1:18" ht="14.45" customHeight="1" x14ac:dyDescent="0.25">
      <c r="A31" s="1" t="str">
        <f t="shared" si="0"/>
        <v>ШС</v>
      </c>
      <c r="B31" s="35">
        <f t="shared" si="1"/>
        <v>1</v>
      </c>
      <c r="C31" s="35" t="str">
        <f t="shared" si="2"/>
        <v>А5</v>
      </c>
      <c r="D31" s="36" t="str">
        <f t="shared" si="3"/>
        <v xml:space="preserve">DO </v>
      </c>
      <c r="E31" s="35">
        <f t="shared" si="4"/>
        <v>181</v>
      </c>
      <c r="F31" s="111">
        <v>25</v>
      </c>
      <c r="G31" s="70"/>
      <c r="H31" s="159" t="s">
        <v>1</v>
      </c>
      <c r="I31" s="31"/>
      <c r="J31" s="127"/>
      <c r="K31" s="123"/>
      <c r="L31" s="74"/>
      <c r="M31" s="28"/>
      <c r="N31" s="17"/>
      <c r="O31" s="99">
        <v>10</v>
      </c>
      <c r="P31" s="188"/>
      <c r="Q31" s="189"/>
      <c r="R31" s="13"/>
    </row>
    <row r="32" spans="1:18" ht="14.45" customHeight="1" x14ac:dyDescent="0.25">
      <c r="A32" s="1" t="str">
        <f t="shared" si="0"/>
        <v>ШС</v>
      </c>
      <c r="B32" s="35">
        <f t="shared" si="1"/>
        <v>1</v>
      </c>
      <c r="C32" s="35" t="str">
        <f t="shared" si="2"/>
        <v>А5</v>
      </c>
      <c r="D32" s="36" t="str">
        <f t="shared" si="3"/>
        <v xml:space="preserve">DO </v>
      </c>
      <c r="E32" s="35">
        <f t="shared" si="4"/>
        <v>181</v>
      </c>
      <c r="F32" s="111">
        <v>26</v>
      </c>
      <c r="G32" s="70"/>
      <c r="H32" s="159" t="s">
        <v>1</v>
      </c>
      <c r="I32" s="31"/>
      <c r="J32" s="127"/>
      <c r="K32" s="123"/>
      <c r="L32" s="74"/>
      <c r="M32" s="28"/>
      <c r="N32" s="17"/>
      <c r="O32" s="99">
        <v>10</v>
      </c>
      <c r="P32" s="188"/>
      <c r="Q32" s="189"/>
      <c r="R32" s="13"/>
    </row>
    <row r="33" spans="1:18" ht="14.45" customHeight="1" x14ac:dyDescent="0.25">
      <c r="A33" s="1" t="str">
        <f t="shared" si="0"/>
        <v>ШС</v>
      </c>
      <c r="B33" s="35">
        <f t="shared" si="1"/>
        <v>1</v>
      </c>
      <c r="C33" s="35" t="str">
        <f t="shared" si="2"/>
        <v>А5</v>
      </c>
      <c r="D33" s="36" t="str">
        <f t="shared" si="3"/>
        <v xml:space="preserve">DO </v>
      </c>
      <c r="E33" s="35">
        <f t="shared" si="4"/>
        <v>181</v>
      </c>
      <c r="F33" s="111">
        <v>27</v>
      </c>
      <c r="G33" s="70"/>
      <c r="H33" s="159" t="s">
        <v>1</v>
      </c>
      <c r="I33" s="31"/>
      <c r="J33" s="127"/>
      <c r="K33" s="123"/>
      <c r="L33" s="74"/>
      <c r="M33" s="28"/>
      <c r="N33" s="17"/>
      <c r="O33" s="99">
        <v>10</v>
      </c>
      <c r="P33" s="188"/>
      <c r="Q33" s="189"/>
      <c r="R33" s="13"/>
    </row>
    <row r="34" spans="1:18" ht="14.45" customHeight="1" x14ac:dyDescent="0.25">
      <c r="A34" s="1" t="str">
        <f t="shared" si="0"/>
        <v>ШС</v>
      </c>
      <c r="B34" s="35">
        <f t="shared" si="1"/>
        <v>1</v>
      </c>
      <c r="C34" s="35" t="str">
        <f t="shared" si="2"/>
        <v>А5</v>
      </c>
      <c r="D34" s="36" t="str">
        <f t="shared" si="3"/>
        <v xml:space="preserve">DO </v>
      </c>
      <c r="E34" s="35">
        <f t="shared" si="4"/>
        <v>181</v>
      </c>
      <c r="F34" s="111">
        <v>28</v>
      </c>
      <c r="G34" s="70"/>
      <c r="H34" s="159" t="s">
        <v>1</v>
      </c>
      <c r="I34" s="31"/>
      <c r="J34" s="127"/>
      <c r="K34" s="123"/>
      <c r="L34" s="74"/>
      <c r="M34" s="28"/>
      <c r="N34" s="17"/>
      <c r="O34" s="99">
        <v>10</v>
      </c>
      <c r="P34" s="185"/>
      <c r="Q34" s="189"/>
      <c r="R34" s="13"/>
    </row>
    <row r="35" spans="1:18" ht="14.45" customHeight="1" x14ac:dyDescent="0.25">
      <c r="A35" s="1" t="str">
        <f t="shared" si="0"/>
        <v>ШС</v>
      </c>
      <c r="B35" s="35">
        <f t="shared" si="1"/>
        <v>1</v>
      </c>
      <c r="C35" s="35" t="str">
        <f t="shared" si="2"/>
        <v>А5</v>
      </c>
      <c r="D35" s="36" t="str">
        <f t="shared" si="3"/>
        <v xml:space="preserve">DO </v>
      </c>
      <c r="E35" s="35">
        <f t="shared" si="4"/>
        <v>181</v>
      </c>
      <c r="F35" s="111">
        <v>29</v>
      </c>
      <c r="G35" s="70"/>
      <c r="H35" s="159" t="s">
        <v>1</v>
      </c>
      <c r="I35" s="31"/>
      <c r="J35" s="127"/>
      <c r="K35" s="123"/>
      <c r="L35" s="74"/>
      <c r="M35" s="28"/>
      <c r="N35" s="17"/>
      <c r="O35" s="99">
        <v>10</v>
      </c>
      <c r="P35" s="185"/>
      <c r="Q35" s="189"/>
      <c r="R35" s="13"/>
    </row>
    <row r="36" spans="1:18" ht="14.45" customHeight="1" x14ac:dyDescent="0.25">
      <c r="A36" s="1" t="str">
        <f t="shared" si="0"/>
        <v>ШС</v>
      </c>
      <c r="B36" s="35">
        <f t="shared" si="1"/>
        <v>1</v>
      </c>
      <c r="C36" s="35" t="str">
        <f t="shared" si="2"/>
        <v>А5</v>
      </c>
      <c r="D36" s="36" t="str">
        <f t="shared" si="3"/>
        <v xml:space="preserve">DO </v>
      </c>
      <c r="E36" s="35">
        <f t="shared" si="4"/>
        <v>181</v>
      </c>
      <c r="F36" s="111">
        <v>30</v>
      </c>
      <c r="G36" s="70"/>
      <c r="H36" s="159" t="s">
        <v>1</v>
      </c>
      <c r="I36" s="31"/>
      <c r="J36" s="127"/>
      <c r="K36" s="123"/>
      <c r="L36" s="74"/>
      <c r="M36" s="28"/>
      <c r="N36" s="17"/>
      <c r="O36" s="99">
        <v>10</v>
      </c>
      <c r="P36" s="185"/>
      <c r="Q36" s="189"/>
      <c r="R36" s="13"/>
    </row>
    <row r="37" spans="1:18" ht="14.45" customHeight="1" x14ac:dyDescent="0.25">
      <c r="A37" s="1" t="str">
        <f t="shared" si="0"/>
        <v>ШС</v>
      </c>
      <c r="B37" s="35">
        <f t="shared" si="1"/>
        <v>1</v>
      </c>
      <c r="C37" s="35" t="str">
        <f t="shared" si="2"/>
        <v>А5</v>
      </c>
      <c r="D37" s="36" t="str">
        <f t="shared" si="3"/>
        <v xml:space="preserve">DO </v>
      </c>
      <c r="E37" s="35">
        <f t="shared" si="4"/>
        <v>181</v>
      </c>
      <c r="F37" s="111">
        <v>31</v>
      </c>
      <c r="G37" s="70"/>
      <c r="H37" s="159" t="s">
        <v>1</v>
      </c>
      <c r="I37" s="31"/>
      <c r="J37" s="127"/>
      <c r="K37" s="123"/>
      <c r="L37" s="74"/>
      <c r="M37" s="28"/>
      <c r="N37" s="17"/>
      <c r="O37" s="99">
        <v>10</v>
      </c>
      <c r="P37" s="185"/>
      <c r="Q37" s="189"/>
      <c r="R37" s="13"/>
    </row>
    <row r="38" spans="1:18" ht="15" customHeight="1" thickBot="1" x14ac:dyDescent="0.3">
      <c r="A38" s="37" t="str">
        <f t="shared" si="0"/>
        <v>ШС</v>
      </c>
      <c r="B38" s="38">
        <f t="shared" si="1"/>
        <v>1</v>
      </c>
      <c r="C38" s="38" t="str">
        <f t="shared" si="2"/>
        <v>А5</v>
      </c>
      <c r="D38" s="39" t="str">
        <f t="shared" si="3"/>
        <v xml:space="preserve">DO </v>
      </c>
      <c r="E38" s="38">
        <f t="shared" si="4"/>
        <v>181</v>
      </c>
      <c r="F38" s="112">
        <v>32</v>
      </c>
      <c r="G38" s="71"/>
      <c r="H38" s="160" t="s">
        <v>1</v>
      </c>
      <c r="I38" s="43"/>
      <c r="J38" s="128"/>
      <c r="K38" s="124"/>
      <c r="L38" s="75"/>
      <c r="M38" s="42"/>
      <c r="N38" s="18"/>
      <c r="O38" s="184">
        <v>10</v>
      </c>
      <c r="P38" s="185"/>
      <c r="Q38" s="189"/>
      <c r="R38" s="13"/>
    </row>
    <row r="39" spans="1:18" x14ac:dyDescent="0.25">
      <c r="A39" s="44" t="s">
        <v>153</v>
      </c>
      <c r="B39" s="45">
        <v>1</v>
      </c>
      <c r="C39" s="45" t="s">
        <v>143</v>
      </c>
      <c r="D39" s="46" t="s">
        <v>11</v>
      </c>
      <c r="E39" s="45">
        <v>161</v>
      </c>
      <c r="F39" s="113">
        <v>1</v>
      </c>
      <c r="G39" s="72" t="s">
        <v>13</v>
      </c>
      <c r="H39" s="157" t="s">
        <v>59</v>
      </c>
      <c r="I39" s="40"/>
      <c r="J39" s="52"/>
      <c r="K39" s="155" t="s">
        <v>119</v>
      </c>
      <c r="L39" s="73" t="s">
        <v>10</v>
      </c>
      <c r="M39" s="41"/>
      <c r="N39" s="30"/>
      <c r="O39" s="22">
        <v>12</v>
      </c>
      <c r="P39" s="185" t="s">
        <v>44</v>
      </c>
      <c r="Q39" s="191" t="s">
        <v>78</v>
      </c>
      <c r="R39" s="13"/>
    </row>
    <row r="40" spans="1:18" ht="14.45" customHeight="1" x14ac:dyDescent="0.25">
      <c r="A40" s="154" t="str">
        <f>A39</f>
        <v>ШС</v>
      </c>
      <c r="B40" s="35">
        <f>B39</f>
        <v>1</v>
      </c>
      <c r="C40" s="35" t="str">
        <f>C39</f>
        <v>А6</v>
      </c>
      <c r="D40" s="36" t="str">
        <f>D39</f>
        <v>DI</v>
      </c>
      <c r="E40" s="35">
        <f>E39</f>
        <v>161</v>
      </c>
      <c r="F40" s="111">
        <v>2</v>
      </c>
      <c r="G40" s="70" t="s">
        <v>13</v>
      </c>
      <c r="H40" s="159" t="s">
        <v>35</v>
      </c>
      <c r="I40" s="31"/>
      <c r="J40" s="53"/>
      <c r="K40" s="58" t="s">
        <v>119</v>
      </c>
      <c r="L40" s="74" t="s">
        <v>9</v>
      </c>
      <c r="M40" s="28"/>
      <c r="N40" s="17"/>
      <c r="O40" s="23">
        <v>12</v>
      </c>
      <c r="P40" s="185" t="s">
        <v>44</v>
      </c>
      <c r="Q40" s="191" t="s">
        <v>78</v>
      </c>
      <c r="R40" s="13"/>
    </row>
    <row r="41" spans="1:18" ht="14.45" customHeight="1" x14ac:dyDescent="0.25">
      <c r="A41" s="154" t="str">
        <f t="shared" ref="A41:A70" si="5">A40</f>
        <v>ШС</v>
      </c>
      <c r="B41" s="35">
        <f t="shared" ref="B41:B70" si="6">B40</f>
        <v>1</v>
      </c>
      <c r="C41" s="35" t="str">
        <f t="shared" ref="C41:C70" si="7">C40</f>
        <v>А6</v>
      </c>
      <c r="D41" s="36" t="str">
        <f t="shared" ref="D41:D70" si="8">D40</f>
        <v>DI</v>
      </c>
      <c r="E41" s="35">
        <f t="shared" ref="E41:E69" si="9">E40</f>
        <v>161</v>
      </c>
      <c r="F41" s="111">
        <v>3</v>
      </c>
      <c r="G41" s="70" t="s">
        <v>13</v>
      </c>
      <c r="H41" s="161" t="s">
        <v>14</v>
      </c>
      <c r="I41" s="31"/>
      <c r="J41" s="53"/>
      <c r="K41" s="58"/>
      <c r="L41" s="74"/>
      <c r="M41" s="28"/>
      <c r="N41" s="17"/>
      <c r="O41" s="23">
        <v>12</v>
      </c>
      <c r="P41" s="185" t="s">
        <v>44</v>
      </c>
      <c r="Q41" s="191"/>
      <c r="R41" s="13"/>
    </row>
    <row r="42" spans="1:18" ht="14.45" customHeight="1" x14ac:dyDescent="0.25">
      <c r="A42" s="154" t="str">
        <f t="shared" si="5"/>
        <v>ШС</v>
      </c>
      <c r="B42" s="35">
        <f t="shared" si="6"/>
        <v>1</v>
      </c>
      <c r="C42" s="35" t="str">
        <f t="shared" si="7"/>
        <v>А6</v>
      </c>
      <c r="D42" s="36" t="str">
        <f t="shared" si="8"/>
        <v>DI</v>
      </c>
      <c r="E42" s="35">
        <f t="shared" si="9"/>
        <v>161</v>
      </c>
      <c r="F42" s="111">
        <v>4</v>
      </c>
      <c r="G42" s="70"/>
      <c r="H42" s="159" t="s">
        <v>1</v>
      </c>
      <c r="I42" s="31"/>
      <c r="J42" s="53"/>
      <c r="K42" s="58"/>
      <c r="L42" s="74"/>
      <c r="M42" s="28"/>
      <c r="N42" s="17"/>
      <c r="O42" s="23">
        <v>12</v>
      </c>
      <c r="P42" t="s">
        <v>75</v>
      </c>
      <c r="Q42" s="191"/>
      <c r="R42" s="13"/>
    </row>
    <row r="43" spans="1:18" ht="14.45" customHeight="1" x14ac:dyDescent="0.25">
      <c r="A43" s="154" t="str">
        <f t="shared" si="5"/>
        <v>ШС</v>
      </c>
      <c r="B43" s="35">
        <f t="shared" si="6"/>
        <v>1</v>
      </c>
      <c r="C43" s="35" t="str">
        <f t="shared" si="7"/>
        <v>А6</v>
      </c>
      <c r="D43" s="36" t="str">
        <f t="shared" si="8"/>
        <v>DI</v>
      </c>
      <c r="E43" s="35">
        <f t="shared" si="9"/>
        <v>161</v>
      </c>
      <c r="F43" s="111">
        <v>5</v>
      </c>
      <c r="G43" s="70" t="s">
        <v>7</v>
      </c>
      <c r="H43" s="159" t="s">
        <v>62</v>
      </c>
      <c r="I43" s="31" t="s">
        <v>117</v>
      </c>
      <c r="J43" s="53" t="s">
        <v>117</v>
      </c>
      <c r="K43" s="58"/>
      <c r="L43" s="74"/>
      <c r="M43" s="28"/>
      <c r="N43" s="17"/>
      <c r="O43" s="23">
        <v>12</v>
      </c>
      <c r="P43" t="s">
        <v>75</v>
      </c>
      <c r="Q43" s="191"/>
      <c r="R43" s="13"/>
    </row>
    <row r="44" spans="1:18" ht="14.45" customHeight="1" x14ac:dyDescent="0.25">
      <c r="A44" s="154" t="str">
        <f t="shared" si="5"/>
        <v>ШС</v>
      </c>
      <c r="B44" s="35">
        <f t="shared" si="6"/>
        <v>1</v>
      </c>
      <c r="C44" s="35" t="str">
        <f t="shared" si="7"/>
        <v>А6</v>
      </c>
      <c r="D44" s="36" t="str">
        <f t="shared" si="8"/>
        <v>DI</v>
      </c>
      <c r="E44" s="35">
        <f t="shared" si="9"/>
        <v>161</v>
      </c>
      <c r="F44" s="111">
        <v>6</v>
      </c>
      <c r="G44" s="70" t="s">
        <v>7</v>
      </c>
      <c r="H44" s="159" t="s">
        <v>63</v>
      </c>
      <c r="I44" s="31" t="s">
        <v>117</v>
      </c>
      <c r="J44" s="53" t="s">
        <v>117</v>
      </c>
      <c r="K44" s="58"/>
      <c r="L44" s="74"/>
      <c r="M44" s="28"/>
      <c r="N44" s="17"/>
      <c r="O44" s="23">
        <v>12</v>
      </c>
      <c r="P44" t="s">
        <v>75</v>
      </c>
      <c r="Q44" s="191"/>
      <c r="R44" s="13"/>
    </row>
    <row r="45" spans="1:18" ht="14.45" customHeight="1" x14ac:dyDescent="0.25">
      <c r="A45" s="154" t="str">
        <f t="shared" si="5"/>
        <v>ШС</v>
      </c>
      <c r="B45" s="35">
        <f t="shared" si="6"/>
        <v>1</v>
      </c>
      <c r="C45" s="35" t="str">
        <f t="shared" si="7"/>
        <v>А6</v>
      </c>
      <c r="D45" s="36" t="str">
        <f t="shared" si="8"/>
        <v>DI</v>
      </c>
      <c r="E45" s="35">
        <f t="shared" si="9"/>
        <v>161</v>
      </c>
      <c r="F45" s="111">
        <v>7</v>
      </c>
      <c r="G45" s="70" t="s">
        <v>7</v>
      </c>
      <c r="H45" s="159" t="s">
        <v>64</v>
      </c>
      <c r="I45" s="31" t="s">
        <v>117</v>
      </c>
      <c r="J45" s="53" t="s">
        <v>117</v>
      </c>
      <c r="K45" s="58"/>
      <c r="L45" s="74"/>
      <c r="M45" s="28"/>
      <c r="N45" s="17"/>
      <c r="O45" s="23">
        <v>12</v>
      </c>
      <c r="P45" t="s">
        <v>75</v>
      </c>
      <c r="Q45" s="191"/>
      <c r="R45" s="13"/>
    </row>
    <row r="46" spans="1:18" ht="14.45" customHeight="1" x14ac:dyDescent="0.25">
      <c r="A46" s="154" t="str">
        <f t="shared" si="5"/>
        <v>ШС</v>
      </c>
      <c r="B46" s="35">
        <f t="shared" si="6"/>
        <v>1</v>
      </c>
      <c r="C46" s="35" t="str">
        <f t="shared" si="7"/>
        <v>А6</v>
      </c>
      <c r="D46" s="36" t="str">
        <f t="shared" si="8"/>
        <v>DI</v>
      </c>
      <c r="E46" s="35">
        <f t="shared" si="9"/>
        <v>161</v>
      </c>
      <c r="F46" s="111">
        <v>8</v>
      </c>
      <c r="G46" s="70" t="s">
        <v>7</v>
      </c>
      <c r="H46" s="159" t="s">
        <v>62</v>
      </c>
      <c r="I46" s="31" t="s">
        <v>118</v>
      </c>
      <c r="J46" s="53" t="s">
        <v>118</v>
      </c>
      <c r="K46" s="58"/>
      <c r="L46" s="74"/>
      <c r="M46" s="28"/>
      <c r="N46" s="17"/>
      <c r="O46" s="23">
        <v>12</v>
      </c>
      <c r="P46" t="s">
        <v>75</v>
      </c>
      <c r="Q46" s="191"/>
      <c r="R46" s="13"/>
    </row>
    <row r="47" spans="1:18" ht="14.45" customHeight="1" x14ac:dyDescent="0.25">
      <c r="A47" s="154" t="str">
        <f t="shared" si="5"/>
        <v>ШС</v>
      </c>
      <c r="B47" s="35">
        <f t="shared" si="6"/>
        <v>1</v>
      </c>
      <c r="C47" s="35" t="str">
        <f t="shared" si="7"/>
        <v>А6</v>
      </c>
      <c r="D47" s="36" t="str">
        <f t="shared" si="8"/>
        <v>DI</v>
      </c>
      <c r="E47" s="35">
        <f t="shared" si="9"/>
        <v>161</v>
      </c>
      <c r="F47" s="111">
        <v>9</v>
      </c>
      <c r="G47" s="70" t="s">
        <v>7</v>
      </c>
      <c r="H47" s="159" t="s">
        <v>63</v>
      </c>
      <c r="I47" s="31" t="s">
        <v>118</v>
      </c>
      <c r="J47" s="53" t="s">
        <v>118</v>
      </c>
      <c r="K47" s="58"/>
      <c r="L47" s="74"/>
      <c r="M47" s="28"/>
      <c r="N47" s="17"/>
      <c r="O47" s="23">
        <v>12</v>
      </c>
      <c r="P47" t="s">
        <v>75</v>
      </c>
      <c r="Q47" s="190"/>
      <c r="R47" s="13"/>
    </row>
    <row r="48" spans="1:18" ht="14.45" customHeight="1" x14ac:dyDescent="0.25">
      <c r="A48" s="154" t="str">
        <f t="shared" si="5"/>
        <v>ШС</v>
      </c>
      <c r="B48" s="35">
        <f t="shared" si="6"/>
        <v>1</v>
      </c>
      <c r="C48" s="35" t="str">
        <f t="shared" si="7"/>
        <v>А6</v>
      </c>
      <c r="D48" s="36" t="str">
        <f t="shared" si="8"/>
        <v>DI</v>
      </c>
      <c r="E48" s="35">
        <f t="shared" si="9"/>
        <v>161</v>
      </c>
      <c r="F48" s="111">
        <v>10</v>
      </c>
      <c r="G48" s="70" t="s">
        <v>7</v>
      </c>
      <c r="H48" s="159" t="s">
        <v>64</v>
      </c>
      <c r="I48" s="31" t="s">
        <v>118</v>
      </c>
      <c r="J48" s="53" t="s">
        <v>118</v>
      </c>
      <c r="K48" s="59"/>
      <c r="L48" s="74"/>
      <c r="M48" s="28"/>
      <c r="N48" s="17"/>
      <c r="O48" s="23">
        <v>12</v>
      </c>
      <c r="P48" t="s">
        <v>75</v>
      </c>
      <c r="Q48" s="190"/>
      <c r="R48" s="13"/>
    </row>
    <row r="49" spans="1:18" ht="14.45" customHeight="1" x14ac:dyDescent="0.25">
      <c r="A49" s="154" t="str">
        <f t="shared" si="5"/>
        <v>ШС</v>
      </c>
      <c r="B49" s="35">
        <f t="shared" si="6"/>
        <v>1</v>
      </c>
      <c r="C49" s="35" t="str">
        <f t="shared" si="7"/>
        <v>А6</v>
      </c>
      <c r="D49" s="36" t="str">
        <f t="shared" si="8"/>
        <v>DI</v>
      </c>
      <c r="E49" s="35">
        <f t="shared" si="9"/>
        <v>161</v>
      </c>
      <c r="F49" s="111">
        <v>11</v>
      </c>
      <c r="G49" s="70" t="s">
        <v>7</v>
      </c>
      <c r="H49" s="159" t="s">
        <v>62</v>
      </c>
      <c r="I49" s="31" t="s">
        <v>18</v>
      </c>
      <c r="J49" s="53" t="s">
        <v>18</v>
      </c>
      <c r="K49" s="59"/>
      <c r="L49" s="74"/>
      <c r="M49" s="28"/>
      <c r="N49" s="17"/>
      <c r="O49" s="23">
        <v>12</v>
      </c>
      <c r="P49" t="s">
        <v>75</v>
      </c>
      <c r="Q49" s="190"/>
      <c r="R49" s="13"/>
    </row>
    <row r="50" spans="1:18" ht="14.45" customHeight="1" x14ac:dyDescent="0.25">
      <c r="A50" s="154" t="str">
        <f t="shared" si="5"/>
        <v>ШС</v>
      </c>
      <c r="B50" s="35">
        <f t="shared" si="6"/>
        <v>1</v>
      </c>
      <c r="C50" s="35" t="str">
        <f t="shared" si="7"/>
        <v>А6</v>
      </c>
      <c r="D50" s="36" t="str">
        <f t="shared" si="8"/>
        <v>DI</v>
      </c>
      <c r="E50" s="35">
        <f t="shared" si="9"/>
        <v>161</v>
      </c>
      <c r="F50" s="111">
        <v>12</v>
      </c>
      <c r="G50" s="70" t="s">
        <v>7</v>
      </c>
      <c r="H50" s="159" t="s">
        <v>63</v>
      </c>
      <c r="I50" s="31" t="s">
        <v>18</v>
      </c>
      <c r="J50" s="53" t="s">
        <v>18</v>
      </c>
      <c r="K50" s="59"/>
      <c r="L50" s="74"/>
      <c r="M50" s="28"/>
      <c r="N50" s="17"/>
      <c r="O50" s="23">
        <v>12</v>
      </c>
      <c r="P50" t="s">
        <v>75</v>
      </c>
      <c r="Q50" s="190"/>
      <c r="R50" s="13"/>
    </row>
    <row r="51" spans="1:18" ht="14.45" customHeight="1" x14ac:dyDescent="0.25">
      <c r="A51" s="154" t="str">
        <f t="shared" si="5"/>
        <v>ШС</v>
      </c>
      <c r="B51" s="35">
        <f t="shared" si="6"/>
        <v>1</v>
      </c>
      <c r="C51" s="35" t="str">
        <f t="shared" si="7"/>
        <v>А6</v>
      </c>
      <c r="D51" s="36" t="str">
        <f>D50</f>
        <v>DI</v>
      </c>
      <c r="E51" s="35">
        <f t="shared" si="9"/>
        <v>161</v>
      </c>
      <c r="F51" s="111">
        <v>13</v>
      </c>
      <c r="G51" s="70" t="s">
        <v>7</v>
      </c>
      <c r="H51" s="159" t="s">
        <v>64</v>
      </c>
      <c r="I51" s="31" t="s">
        <v>18</v>
      </c>
      <c r="J51" s="53" t="s">
        <v>18</v>
      </c>
      <c r="K51" s="59"/>
      <c r="L51" s="74"/>
      <c r="M51" s="28"/>
      <c r="N51" s="17"/>
      <c r="O51" s="23">
        <v>12</v>
      </c>
      <c r="P51" t="s">
        <v>75</v>
      </c>
      <c r="Q51" s="190"/>
      <c r="R51" s="13"/>
    </row>
    <row r="52" spans="1:18" ht="14.45" customHeight="1" x14ac:dyDescent="0.25">
      <c r="A52" s="154" t="str">
        <f t="shared" si="5"/>
        <v>ШС</v>
      </c>
      <c r="B52" s="35">
        <f t="shared" si="6"/>
        <v>1</v>
      </c>
      <c r="C52" s="35" t="str">
        <f t="shared" si="7"/>
        <v>А6</v>
      </c>
      <c r="D52" s="36" t="str">
        <f t="shared" si="8"/>
        <v>DI</v>
      </c>
      <c r="E52" s="35">
        <f t="shared" si="9"/>
        <v>161</v>
      </c>
      <c r="F52" s="111">
        <v>14</v>
      </c>
      <c r="G52" s="70" t="s">
        <v>7</v>
      </c>
      <c r="H52" s="159" t="s">
        <v>62</v>
      </c>
      <c r="I52" s="31" t="s">
        <v>19</v>
      </c>
      <c r="J52" s="53" t="s">
        <v>19</v>
      </c>
      <c r="K52" s="59"/>
      <c r="L52" s="74"/>
      <c r="M52" s="28"/>
      <c r="N52" s="17"/>
      <c r="O52" s="23">
        <v>12</v>
      </c>
      <c r="P52" t="s">
        <v>75</v>
      </c>
      <c r="Q52" s="190"/>
      <c r="R52" s="13"/>
    </row>
    <row r="53" spans="1:18" ht="14.45" customHeight="1" x14ac:dyDescent="0.25">
      <c r="A53" s="154" t="str">
        <f t="shared" si="5"/>
        <v>ШС</v>
      </c>
      <c r="B53" s="35">
        <f t="shared" si="6"/>
        <v>1</v>
      </c>
      <c r="C53" s="35" t="str">
        <f t="shared" si="7"/>
        <v>А6</v>
      </c>
      <c r="D53" s="36" t="str">
        <f t="shared" si="8"/>
        <v>DI</v>
      </c>
      <c r="E53" s="35">
        <f t="shared" si="9"/>
        <v>161</v>
      </c>
      <c r="F53" s="111">
        <v>15</v>
      </c>
      <c r="G53" s="70" t="s">
        <v>7</v>
      </c>
      <c r="H53" s="159" t="s">
        <v>63</v>
      </c>
      <c r="I53" s="31" t="s">
        <v>19</v>
      </c>
      <c r="J53" s="53" t="s">
        <v>19</v>
      </c>
      <c r="K53" s="59"/>
      <c r="L53" s="74"/>
      <c r="M53" s="28"/>
      <c r="N53" s="17"/>
      <c r="O53" s="23">
        <v>12</v>
      </c>
      <c r="P53" t="s">
        <v>75</v>
      </c>
      <c r="Q53" s="190"/>
      <c r="R53" s="13"/>
    </row>
    <row r="54" spans="1:18" ht="14.45" customHeight="1" x14ac:dyDescent="0.25">
      <c r="A54" s="154" t="str">
        <f t="shared" si="5"/>
        <v>ШС</v>
      </c>
      <c r="B54" s="35">
        <f t="shared" si="6"/>
        <v>1</v>
      </c>
      <c r="C54" s="35" t="str">
        <f t="shared" si="7"/>
        <v>А6</v>
      </c>
      <c r="D54" s="36" t="str">
        <f t="shared" si="8"/>
        <v>DI</v>
      </c>
      <c r="E54" s="35">
        <f t="shared" si="9"/>
        <v>161</v>
      </c>
      <c r="F54" s="111">
        <v>16</v>
      </c>
      <c r="G54" s="70" t="s">
        <v>7</v>
      </c>
      <c r="H54" s="159" t="s">
        <v>64</v>
      </c>
      <c r="I54" s="31" t="s">
        <v>19</v>
      </c>
      <c r="J54" s="53" t="s">
        <v>19</v>
      </c>
      <c r="K54" s="59"/>
      <c r="L54" s="74"/>
      <c r="M54" s="28"/>
      <c r="N54" s="17"/>
      <c r="O54" s="23">
        <v>12</v>
      </c>
      <c r="P54" t="s">
        <v>75</v>
      </c>
      <c r="Q54" s="190"/>
      <c r="R54" s="13"/>
    </row>
    <row r="55" spans="1:18" ht="14.45" customHeight="1" x14ac:dyDescent="0.25">
      <c r="A55" s="154" t="str">
        <f t="shared" si="5"/>
        <v>ШС</v>
      </c>
      <c r="B55" s="35">
        <f t="shared" si="6"/>
        <v>1</v>
      </c>
      <c r="C55" s="35" t="str">
        <f t="shared" si="7"/>
        <v>А6</v>
      </c>
      <c r="D55" s="36" t="str">
        <f t="shared" si="8"/>
        <v>DI</v>
      </c>
      <c r="E55" s="35">
        <f t="shared" si="9"/>
        <v>161</v>
      </c>
      <c r="F55" s="111">
        <v>17</v>
      </c>
      <c r="G55" s="70" t="s">
        <v>13</v>
      </c>
      <c r="H55" s="159" t="s">
        <v>105</v>
      </c>
      <c r="I55" s="32"/>
      <c r="J55" s="53"/>
      <c r="K55" s="59"/>
      <c r="L55" s="74"/>
      <c r="M55" s="28"/>
      <c r="N55" s="17"/>
      <c r="O55" s="23">
        <v>13</v>
      </c>
      <c r="P55" t="s">
        <v>102</v>
      </c>
      <c r="Q55" s="190" t="s">
        <v>106</v>
      </c>
      <c r="R55" s="13"/>
    </row>
    <row r="56" spans="1:18" ht="14.45" customHeight="1" x14ac:dyDescent="0.25">
      <c r="A56" s="154" t="str">
        <f t="shared" si="5"/>
        <v>ШС</v>
      </c>
      <c r="B56" s="35">
        <f t="shared" si="6"/>
        <v>1</v>
      </c>
      <c r="C56" s="35" t="str">
        <f t="shared" si="7"/>
        <v>А6</v>
      </c>
      <c r="D56" s="36" t="str">
        <f t="shared" si="8"/>
        <v>DI</v>
      </c>
      <c r="E56" s="35">
        <f t="shared" si="9"/>
        <v>161</v>
      </c>
      <c r="F56" s="111">
        <v>18</v>
      </c>
      <c r="G56" s="70" t="s">
        <v>13</v>
      </c>
      <c r="H56" s="159" t="s">
        <v>146</v>
      </c>
      <c r="I56" s="32"/>
      <c r="J56" s="53"/>
      <c r="K56" s="59"/>
      <c r="L56" s="74"/>
      <c r="M56" s="28"/>
      <c r="N56" s="17"/>
      <c r="O56" s="23">
        <v>13</v>
      </c>
      <c r="P56" t="s">
        <v>102</v>
      </c>
      <c r="Q56" s="190" t="s">
        <v>147</v>
      </c>
      <c r="R56" s="13"/>
    </row>
    <row r="57" spans="1:18" ht="14.45" customHeight="1" x14ac:dyDescent="0.25">
      <c r="A57" s="154" t="str">
        <f t="shared" si="5"/>
        <v>ШС</v>
      </c>
      <c r="B57" s="35">
        <f t="shared" si="6"/>
        <v>1</v>
      </c>
      <c r="C57" s="35" t="str">
        <f t="shared" si="7"/>
        <v>А6</v>
      </c>
      <c r="D57" s="36" t="str">
        <f t="shared" si="8"/>
        <v>DI</v>
      </c>
      <c r="E57" s="35">
        <f t="shared" si="9"/>
        <v>161</v>
      </c>
      <c r="F57" s="111">
        <v>19</v>
      </c>
      <c r="G57" s="70"/>
      <c r="H57" s="159" t="s">
        <v>1</v>
      </c>
      <c r="I57" s="32"/>
      <c r="J57" s="53"/>
      <c r="K57" s="59"/>
      <c r="L57" s="74"/>
      <c r="M57" s="28"/>
      <c r="N57" s="17"/>
      <c r="O57" s="23">
        <v>13</v>
      </c>
      <c r="Q57" s="189"/>
      <c r="R57" s="13"/>
    </row>
    <row r="58" spans="1:18" ht="14.45" customHeight="1" x14ac:dyDescent="0.25">
      <c r="A58" s="154" t="str">
        <f t="shared" si="5"/>
        <v>ШС</v>
      </c>
      <c r="B58" s="35">
        <f t="shared" si="6"/>
        <v>1</v>
      </c>
      <c r="C58" s="35" t="str">
        <f t="shared" si="7"/>
        <v>А6</v>
      </c>
      <c r="D58" s="36" t="str">
        <f t="shared" si="8"/>
        <v>DI</v>
      </c>
      <c r="E58" s="35">
        <f t="shared" si="9"/>
        <v>161</v>
      </c>
      <c r="F58" s="111">
        <v>20</v>
      </c>
      <c r="G58" s="70"/>
      <c r="H58" s="159" t="s">
        <v>1</v>
      </c>
      <c r="I58" s="32"/>
      <c r="J58" s="53"/>
      <c r="K58" s="59"/>
      <c r="L58" s="74"/>
      <c r="M58" s="28"/>
      <c r="N58" s="17"/>
      <c r="O58" s="23">
        <v>13</v>
      </c>
      <c r="Q58" s="189"/>
      <c r="R58" s="13"/>
    </row>
    <row r="59" spans="1:18" ht="14.45" customHeight="1" x14ac:dyDescent="0.25">
      <c r="A59" s="154" t="str">
        <f t="shared" si="5"/>
        <v>ШС</v>
      </c>
      <c r="B59" s="35">
        <f t="shared" si="6"/>
        <v>1</v>
      </c>
      <c r="C59" s="35" t="str">
        <f t="shared" si="7"/>
        <v>А6</v>
      </c>
      <c r="D59" s="36" t="str">
        <f t="shared" si="8"/>
        <v>DI</v>
      </c>
      <c r="E59" s="35">
        <f>E58</f>
        <v>161</v>
      </c>
      <c r="F59" s="111">
        <v>21</v>
      </c>
      <c r="G59" s="70"/>
      <c r="H59" s="159" t="s">
        <v>1</v>
      </c>
      <c r="I59" s="33"/>
      <c r="J59" s="53"/>
      <c r="K59" s="59"/>
      <c r="L59" s="74"/>
      <c r="M59" s="28"/>
      <c r="N59" s="17"/>
      <c r="O59" s="23">
        <v>13</v>
      </c>
      <c r="Q59" s="189"/>
      <c r="R59" s="13"/>
    </row>
    <row r="60" spans="1:18" ht="14.45" customHeight="1" x14ac:dyDescent="0.25">
      <c r="A60" s="154" t="str">
        <f t="shared" si="5"/>
        <v>ШС</v>
      </c>
      <c r="B60" s="35">
        <f t="shared" si="6"/>
        <v>1</v>
      </c>
      <c r="C60" s="35" t="str">
        <f t="shared" si="7"/>
        <v>А6</v>
      </c>
      <c r="D60" s="36" t="str">
        <f t="shared" si="8"/>
        <v>DI</v>
      </c>
      <c r="E60" s="35">
        <f t="shared" si="9"/>
        <v>161</v>
      </c>
      <c r="F60" s="111">
        <v>22</v>
      </c>
      <c r="G60" s="70"/>
      <c r="H60" s="159" t="s">
        <v>1</v>
      </c>
      <c r="I60" s="33"/>
      <c r="J60" s="53"/>
      <c r="K60" s="59"/>
      <c r="L60" s="74"/>
      <c r="M60" s="28"/>
      <c r="N60" s="17"/>
      <c r="O60" s="23">
        <v>13</v>
      </c>
      <c r="Q60" s="189"/>
      <c r="R60" s="13"/>
    </row>
    <row r="61" spans="1:18" ht="14.45" customHeight="1" x14ac:dyDescent="0.25">
      <c r="A61" s="154" t="str">
        <f t="shared" si="5"/>
        <v>ШС</v>
      </c>
      <c r="B61" s="35">
        <f t="shared" si="6"/>
        <v>1</v>
      </c>
      <c r="C61" s="35" t="str">
        <f t="shared" si="7"/>
        <v>А6</v>
      </c>
      <c r="D61" s="36" t="str">
        <f t="shared" si="8"/>
        <v>DI</v>
      </c>
      <c r="E61" s="35">
        <f t="shared" si="9"/>
        <v>161</v>
      </c>
      <c r="F61" s="111">
        <v>23</v>
      </c>
      <c r="G61" s="70"/>
      <c r="H61" s="159" t="s">
        <v>1</v>
      </c>
      <c r="I61" s="33"/>
      <c r="J61" s="53"/>
      <c r="K61" s="59"/>
      <c r="L61" s="74"/>
      <c r="M61" s="28"/>
      <c r="N61" s="17"/>
      <c r="O61" s="23">
        <v>13</v>
      </c>
      <c r="Q61" s="189"/>
      <c r="R61" s="13"/>
    </row>
    <row r="62" spans="1:18" ht="14.45" customHeight="1" x14ac:dyDescent="0.25">
      <c r="A62" s="154" t="str">
        <f t="shared" si="5"/>
        <v>ШС</v>
      </c>
      <c r="B62" s="35">
        <f t="shared" si="6"/>
        <v>1</v>
      </c>
      <c r="C62" s="35" t="str">
        <f t="shared" si="7"/>
        <v>А6</v>
      </c>
      <c r="D62" s="36" t="str">
        <f t="shared" si="8"/>
        <v>DI</v>
      </c>
      <c r="E62" s="35">
        <f t="shared" si="9"/>
        <v>161</v>
      </c>
      <c r="F62" s="111">
        <v>24</v>
      </c>
      <c r="G62" s="70"/>
      <c r="H62" s="159" t="s">
        <v>1</v>
      </c>
      <c r="I62" s="31"/>
      <c r="J62" s="53"/>
      <c r="K62" s="59"/>
      <c r="L62" s="74"/>
      <c r="M62" s="28"/>
      <c r="N62" s="17"/>
      <c r="O62" s="23">
        <v>13</v>
      </c>
      <c r="Q62" s="189"/>
      <c r="R62" s="13"/>
    </row>
    <row r="63" spans="1:18" ht="14.45" customHeight="1" x14ac:dyDescent="0.25">
      <c r="A63" s="154" t="str">
        <f t="shared" si="5"/>
        <v>ШС</v>
      </c>
      <c r="B63" s="35">
        <f t="shared" si="6"/>
        <v>1</v>
      </c>
      <c r="C63" s="35" t="str">
        <f t="shared" si="7"/>
        <v>А6</v>
      </c>
      <c r="D63" s="36" t="str">
        <f t="shared" si="8"/>
        <v>DI</v>
      </c>
      <c r="E63" s="35">
        <f t="shared" si="9"/>
        <v>161</v>
      </c>
      <c r="F63" s="111">
        <v>25</v>
      </c>
      <c r="G63" s="70"/>
      <c r="H63" s="159" t="s">
        <v>1</v>
      </c>
      <c r="I63" s="31"/>
      <c r="J63" s="53"/>
      <c r="K63" s="59"/>
      <c r="L63" s="74"/>
      <c r="M63" s="28"/>
      <c r="N63" s="17"/>
      <c r="O63" s="23">
        <v>13</v>
      </c>
      <c r="Q63" s="189"/>
      <c r="R63" s="13"/>
    </row>
    <row r="64" spans="1:18" ht="14.45" customHeight="1" x14ac:dyDescent="0.25">
      <c r="A64" s="154" t="str">
        <f t="shared" si="5"/>
        <v>ШС</v>
      </c>
      <c r="B64" s="35">
        <f t="shared" si="6"/>
        <v>1</v>
      </c>
      <c r="C64" s="35" t="str">
        <f t="shared" si="7"/>
        <v>А6</v>
      </c>
      <c r="D64" s="36" t="str">
        <f t="shared" si="8"/>
        <v>DI</v>
      </c>
      <c r="E64" s="35">
        <f t="shared" si="9"/>
        <v>161</v>
      </c>
      <c r="F64" s="111">
        <v>26</v>
      </c>
      <c r="G64" s="70"/>
      <c r="H64" s="159" t="s">
        <v>1</v>
      </c>
      <c r="I64" s="33"/>
      <c r="J64" s="53"/>
      <c r="K64" s="59"/>
      <c r="L64" s="74"/>
      <c r="M64" s="28"/>
      <c r="N64" s="17"/>
      <c r="O64" s="23">
        <v>13</v>
      </c>
      <c r="Q64" s="189"/>
      <c r="R64" s="13"/>
    </row>
    <row r="65" spans="1:18" ht="14.45" customHeight="1" x14ac:dyDescent="0.25">
      <c r="A65" s="154" t="str">
        <f t="shared" si="5"/>
        <v>ШС</v>
      </c>
      <c r="B65" s="35">
        <f t="shared" si="6"/>
        <v>1</v>
      </c>
      <c r="C65" s="35" t="str">
        <f t="shared" si="7"/>
        <v>А6</v>
      </c>
      <c r="D65" s="36" t="str">
        <f t="shared" si="8"/>
        <v>DI</v>
      </c>
      <c r="E65" s="35">
        <f t="shared" si="9"/>
        <v>161</v>
      </c>
      <c r="F65" s="111">
        <v>27</v>
      </c>
      <c r="G65" s="70"/>
      <c r="H65" s="159" t="s">
        <v>1</v>
      </c>
      <c r="I65" s="31"/>
      <c r="J65" s="53"/>
      <c r="K65" s="59"/>
      <c r="L65" s="74"/>
      <c r="M65" s="28"/>
      <c r="N65" s="17"/>
      <c r="O65" s="23">
        <v>13</v>
      </c>
      <c r="Q65" s="189"/>
      <c r="R65" s="13"/>
    </row>
    <row r="66" spans="1:18" ht="14.45" customHeight="1" x14ac:dyDescent="0.25">
      <c r="A66" s="154" t="str">
        <f t="shared" si="5"/>
        <v>ШС</v>
      </c>
      <c r="B66" s="35">
        <f t="shared" si="6"/>
        <v>1</v>
      </c>
      <c r="C66" s="35" t="str">
        <f t="shared" si="7"/>
        <v>А6</v>
      </c>
      <c r="D66" s="36" t="str">
        <f t="shared" si="8"/>
        <v>DI</v>
      </c>
      <c r="E66" s="35">
        <f t="shared" si="9"/>
        <v>161</v>
      </c>
      <c r="F66" s="111">
        <v>28</v>
      </c>
      <c r="G66" s="70"/>
      <c r="H66" s="159" t="s">
        <v>1</v>
      </c>
      <c r="I66" s="31"/>
      <c r="J66" s="53"/>
      <c r="K66" s="59"/>
      <c r="L66" s="74"/>
      <c r="M66" s="28"/>
      <c r="N66" s="17"/>
      <c r="O66" s="23">
        <v>13</v>
      </c>
      <c r="Q66" s="189"/>
      <c r="R66" s="13"/>
    </row>
    <row r="67" spans="1:18" ht="14.45" customHeight="1" x14ac:dyDescent="0.25">
      <c r="A67" s="154" t="str">
        <f t="shared" si="5"/>
        <v>ШС</v>
      </c>
      <c r="B67" s="35">
        <f t="shared" si="6"/>
        <v>1</v>
      </c>
      <c r="C67" s="35" t="str">
        <f t="shared" si="7"/>
        <v>А6</v>
      </c>
      <c r="D67" s="36" t="str">
        <f t="shared" si="8"/>
        <v>DI</v>
      </c>
      <c r="E67" s="35">
        <f t="shared" si="9"/>
        <v>161</v>
      </c>
      <c r="F67" s="111">
        <v>29</v>
      </c>
      <c r="G67" s="70"/>
      <c r="H67" s="159" t="s">
        <v>1</v>
      </c>
      <c r="I67" s="33"/>
      <c r="J67" s="53"/>
      <c r="K67" s="59"/>
      <c r="L67" s="74"/>
      <c r="M67" s="28"/>
      <c r="N67" s="17"/>
      <c r="O67" s="23">
        <v>13</v>
      </c>
      <c r="Q67" s="189"/>
      <c r="R67" s="13"/>
    </row>
    <row r="68" spans="1:18" ht="14.45" customHeight="1" x14ac:dyDescent="0.25">
      <c r="A68" s="154" t="str">
        <f t="shared" si="5"/>
        <v>ШС</v>
      </c>
      <c r="B68" s="35">
        <f t="shared" si="6"/>
        <v>1</v>
      </c>
      <c r="C68" s="35" t="str">
        <f t="shared" si="7"/>
        <v>А6</v>
      </c>
      <c r="D68" s="36" t="str">
        <f t="shared" si="8"/>
        <v>DI</v>
      </c>
      <c r="E68" s="35">
        <f t="shared" si="9"/>
        <v>161</v>
      </c>
      <c r="F68" s="111">
        <v>30</v>
      </c>
      <c r="G68" s="70"/>
      <c r="H68" s="159" t="s">
        <v>1</v>
      </c>
      <c r="I68" s="31"/>
      <c r="J68" s="53"/>
      <c r="K68" s="59"/>
      <c r="L68" s="74"/>
      <c r="M68" s="28"/>
      <c r="N68" s="17"/>
      <c r="O68" s="23">
        <v>13</v>
      </c>
      <c r="Q68" s="189"/>
      <c r="R68" s="13"/>
    </row>
    <row r="69" spans="1:18" ht="14.45" customHeight="1" x14ac:dyDescent="0.25">
      <c r="A69" s="154" t="str">
        <f t="shared" si="5"/>
        <v>ШС</v>
      </c>
      <c r="B69" s="35">
        <f t="shared" si="6"/>
        <v>1</v>
      </c>
      <c r="C69" s="35" t="str">
        <f t="shared" si="7"/>
        <v>А6</v>
      </c>
      <c r="D69" s="36" t="str">
        <f t="shared" si="8"/>
        <v>DI</v>
      </c>
      <c r="E69" s="35">
        <f t="shared" si="9"/>
        <v>161</v>
      </c>
      <c r="F69" s="111">
        <v>31</v>
      </c>
      <c r="G69" s="70"/>
      <c r="H69" s="159" t="s">
        <v>1</v>
      </c>
      <c r="I69" s="31"/>
      <c r="J69" s="53"/>
      <c r="K69" s="59"/>
      <c r="L69" s="74"/>
      <c r="M69" s="28"/>
      <c r="N69" s="17"/>
      <c r="O69" s="23">
        <v>13</v>
      </c>
      <c r="Q69" s="189"/>
      <c r="R69" s="13"/>
    </row>
    <row r="70" spans="1:18" ht="15" customHeight="1" thickBot="1" x14ac:dyDescent="0.3">
      <c r="A70" s="181" t="str">
        <f t="shared" si="5"/>
        <v>ШС</v>
      </c>
      <c r="B70" s="38">
        <f t="shared" si="6"/>
        <v>1</v>
      </c>
      <c r="C70" s="38" t="str">
        <f t="shared" si="7"/>
        <v>А6</v>
      </c>
      <c r="D70" s="39" t="str">
        <f t="shared" si="8"/>
        <v>DI</v>
      </c>
      <c r="E70" s="38">
        <f>E69</f>
        <v>161</v>
      </c>
      <c r="F70" s="112">
        <v>32</v>
      </c>
      <c r="G70" s="71"/>
      <c r="H70" s="160" t="s">
        <v>1</v>
      </c>
      <c r="I70" s="50"/>
      <c r="J70" s="56"/>
      <c r="K70" s="60"/>
      <c r="L70" s="75"/>
      <c r="M70" s="42"/>
      <c r="N70" s="18"/>
      <c r="O70" s="24">
        <v>13</v>
      </c>
      <c r="P70" s="185"/>
      <c r="Q70" s="189"/>
      <c r="R70" s="13"/>
    </row>
    <row r="71" spans="1:18" x14ac:dyDescent="0.25">
      <c r="A71" s="44" t="s">
        <v>153</v>
      </c>
      <c r="B71" s="45">
        <v>1</v>
      </c>
      <c r="C71" s="45" t="s">
        <v>144</v>
      </c>
      <c r="D71" s="46" t="s">
        <v>12</v>
      </c>
      <c r="E71" s="45">
        <v>141</v>
      </c>
      <c r="F71" s="47">
        <v>1</v>
      </c>
      <c r="G71" s="72" t="s">
        <v>2</v>
      </c>
      <c r="H71" s="157" t="s">
        <v>8</v>
      </c>
      <c r="I71" s="162" t="s">
        <v>117</v>
      </c>
      <c r="J71" s="52" t="s">
        <v>117</v>
      </c>
      <c r="K71" s="61"/>
      <c r="L71" s="73"/>
      <c r="M71" s="29">
        <v>0</v>
      </c>
      <c r="N71" s="30" t="s">
        <v>38</v>
      </c>
      <c r="O71" s="22">
        <v>15</v>
      </c>
      <c r="P71" t="s">
        <v>68</v>
      </c>
      <c r="Q71" s="189"/>
      <c r="R71" s="13"/>
    </row>
    <row r="72" spans="1:18" x14ac:dyDescent="0.25">
      <c r="A72" s="1" t="str">
        <f>A71</f>
        <v>ШС</v>
      </c>
      <c r="B72" s="35">
        <f>B71</f>
        <v>1</v>
      </c>
      <c r="C72" s="35" t="str">
        <f>C71</f>
        <v>А7</v>
      </c>
      <c r="D72" s="36" t="str">
        <f>D71</f>
        <v>AI</v>
      </c>
      <c r="E72" s="35">
        <f>E71</f>
        <v>141</v>
      </c>
      <c r="F72" s="48">
        <v>2</v>
      </c>
      <c r="G72" s="70" t="s">
        <v>2</v>
      </c>
      <c r="H72" s="158" t="s">
        <v>8</v>
      </c>
      <c r="I72" s="163" t="s">
        <v>118</v>
      </c>
      <c r="J72" s="53" t="s">
        <v>118</v>
      </c>
      <c r="K72" s="59"/>
      <c r="L72" s="74"/>
      <c r="M72" s="15">
        <v>0</v>
      </c>
      <c r="N72" s="17" t="s">
        <v>38</v>
      </c>
      <c r="O72" s="23">
        <v>15</v>
      </c>
      <c r="P72" t="s">
        <v>68</v>
      </c>
      <c r="Q72" s="189"/>
      <c r="R72" s="13"/>
    </row>
    <row r="73" spans="1:18" x14ac:dyDescent="0.25">
      <c r="A73" s="1" t="str">
        <f t="shared" ref="A73:A78" si="10">A72</f>
        <v>ШС</v>
      </c>
      <c r="B73" s="35">
        <f t="shared" ref="B73:B78" si="11">B72</f>
        <v>1</v>
      </c>
      <c r="C73" s="35" t="str">
        <f t="shared" ref="C73:C78" si="12">C72</f>
        <v>А7</v>
      </c>
      <c r="D73" s="36" t="str">
        <f t="shared" ref="D73:D78" si="13">D72</f>
        <v>AI</v>
      </c>
      <c r="E73" s="35">
        <f t="shared" ref="E73:E78" si="14">E72</f>
        <v>141</v>
      </c>
      <c r="F73" s="48">
        <v>3</v>
      </c>
      <c r="G73" s="70" t="s">
        <v>2</v>
      </c>
      <c r="H73" s="158" t="s">
        <v>8</v>
      </c>
      <c r="I73" s="163" t="s">
        <v>18</v>
      </c>
      <c r="J73" s="53" t="s">
        <v>18</v>
      </c>
      <c r="K73" s="59"/>
      <c r="L73" s="74"/>
      <c r="M73" s="15">
        <v>0</v>
      </c>
      <c r="N73" s="17" t="s">
        <v>38</v>
      </c>
      <c r="O73" s="23">
        <v>15</v>
      </c>
      <c r="P73" t="s">
        <v>68</v>
      </c>
      <c r="Q73" s="189"/>
      <c r="R73" s="13"/>
    </row>
    <row r="74" spans="1:18" x14ac:dyDescent="0.25">
      <c r="A74" s="1" t="str">
        <f t="shared" si="10"/>
        <v>ШС</v>
      </c>
      <c r="B74" s="35">
        <f t="shared" si="11"/>
        <v>1</v>
      </c>
      <c r="C74" s="35" t="str">
        <f t="shared" si="12"/>
        <v>А7</v>
      </c>
      <c r="D74" s="36" t="str">
        <f t="shared" si="13"/>
        <v>AI</v>
      </c>
      <c r="E74" s="35">
        <f t="shared" si="14"/>
        <v>141</v>
      </c>
      <c r="F74" s="48">
        <v>4</v>
      </c>
      <c r="G74" s="70" t="s">
        <v>2</v>
      </c>
      <c r="H74" s="158" t="s">
        <v>8</v>
      </c>
      <c r="I74" s="163" t="s">
        <v>19</v>
      </c>
      <c r="J74" s="53" t="s">
        <v>19</v>
      </c>
      <c r="K74" s="59"/>
      <c r="L74" s="74"/>
      <c r="M74" s="15">
        <v>0</v>
      </c>
      <c r="N74" s="17" t="s">
        <v>38</v>
      </c>
      <c r="O74" s="23">
        <v>15</v>
      </c>
      <c r="P74" t="s">
        <v>68</v>
      </c>
      <c r="Q74" s="189"/>
      <c r="R74" s="13"/>
    </row>
    <row r="75" spans="1:18" x14ac:dyDescent="0.25">
      <c r="A75" s="1" t="str">
        <f t="shared" si="10"/>
        <v>ШС</v>
      </c>
      <c r="B75" s="35">
        <f t="shared" si="11"/>
        <v>1</v>
      </c>
      <c r="C75" s="35" t="str">
        <f t="shared" si="12"/>
        <v>А7</v>
      </c>
      <c r="D75" s="36" t="str">
        <f t="shared" si="13"/>
        <v>AI</v>
      </c>
      <c r="E75" s="35">
        <f t="shared" si="14"/>
        <v>141</v>
      </c>
      <c r="F75" s="48">
        <v>5</v>
      </c>
      <c r="G75" s="70"/>
      <c r="H75" s="159" t="s">
        <v>1</v>
      </c>
      <c r="I75" s="33"/>
      <c r="J75" s="53"/>
      <c r="K75" s="59"/>
      <c r="L75" s="74"/>
      <c r="M75" s="15">
        <v>0</v>
      </c>
      <c r="N75" s="17" t="s">
        <v>38</v>
      </c>
      <c r="O75" s="23">
        <v>15</v>
      </c>
      <c r="Q75" s="189"/>
      <c r="R75" s="13"/>
    </row>
    <row r="76" spans="1:18" x14ac:dyDescent="0.25">
      <c r="A76" s="1" t="str">
        <f t="shared" si="10"/>
        <v>ШС</v>
      </c>
      <c r="B76" s="35">
        <f t="shared" si="11"/>
        <v>1</v>
      </c>
      <c r="C76" s="35" t="str">
        <f t="shared" si="12"/>
        <v>А7</v>
      </c>
      <c r="D76" s="36" t="str">
        <f t="shared" si="13"/>
        <v>AI</v>
      </c>
      <c r="E76" s="35">
        <f t="shared" si="14"/>
        <v>141</v>
      </c>
      <c r="F76" s="48">
        <v>6</v>
      </c>
      <c r="G76" s="70"/>
      <c r="H76" s="159" t="s">
        <v>1</v>
      </c>
      <c r="I76" s="33"/>
      <c r="J76" s="53"/>
      <c r="K76" s="59"/>
      <c r="L76" s="74"/>
      <c r="M76" s="15">
        <v>0</v>
      </c>
      <c r="N76" s="17" t="s">
        <v>38</v>
      </c>
      <c r="O76" s="23">
        <v>15</v>
      </c>
      <c r="Q76" s="189"/>
      <c r="R76" s="13"/>
    </row>
    <row r="77" spans="1:18" x14ac:dyDescent="0.25">
      <c r="A77" s="1" t="str">
        <f t="shared" si="10"/>
        <v>ШС</v>
      </c>
      <c r="B77" s="35">
        <f t="shared" si="11"/>
        <v>1</v>
      </c>
      <c r="C77" s="35" t="str">
        <f t="shared" si="12"/>
        <v>А7</v>
      </c>
      <c r="D77" s="36" t="str">
        <f t="shared" si="13"/>
        <v>AI</v>
      </c>
      <c r="E77" s="35">
        <f t="shared" si="14"/>
        <v>141</v>
      </c>
      <c r="F77" s="48">
        <v>7</v>
      </c>
      <c r="G77" s="70"/>
      <c r="H77" s="159" t="s">
        <v>1</v>
      </c>
      <c r="I77" s="34"/>
      <c r="J77" s="53"/>
      <c r="K77" s="59"/>
      <c r="L77" s="74"/>
      <c r="M77" s="15">
        <v>0</v>
      </c>
      <c r="N77" s="17" t="s">
        <v>38</v>
      </c>
      <c r="O77" s="23">
        <v>15</v>
      </c>
      <c r="Q77" s="189"/>
      <c r="R77" s="13"/>
    </row>
    <row r="78" spans="1:18" ht="15.75" thickBot="1" x14ac:dyDescent="0.3">
      <c r="A78" s="37" t="str">
        <f t="shared" si="10"/>
        <v>ШС</v>
      </c>
      <c r="B78" s="38">
        <f t="shared" si="11"/>
        <v>1</v>
      </c>
      <c r="C78" s="38" t="str">
        <f t="shared" si="12"/>
        <v>А7</v>
      </c>
      <c r="D78" s="39" t="str">
        <f t="shared" si="13"/>
        <v>AI</v>
      </c>
      <c r="E78" s="38">
        <f t="shared" si="14"/>
        <v>141</v>
      </c>
      <c r="F78" s="49">
        <v>8</v>
      </c>
      <c r="G78" s="71"/>
      <c r="H78" s="160" t="s">
        <v>1</v>
      </c>
      <c r="I78" s="51"/>
      <c r="J78" s="54"/>
      <c r="K78" s="60"/>
      <c r="L78" s="75"/>
      <c r="M78" s="16">
        <v>0</v>
      </c>
      <c r="N78" s="18" t="s">
        <v>38</v>
      </c>
      <c r="O78" s="24">
        <v>15</v>
      </c>
      <c r="Q78" s="189"/>
      <c r="R78" s="13"/>
    </row>
  </sheetData>
  <autoFilter ref="G5:N5" xr:uid="{00000000-0001-0000-0000-000000000000}"/>
  <mergeCells count="12">
    <mergeCell ref="A4:C4"/>
    <mergeCell ref="M1:N1"/>
    <mergeCell ref="M2:N2"/>
    <mergeCell ref="M3:N3"/>
    <mergeCell ref="M4:N4"/>
    <mergeCell ref="D4:K4"/>
    <mergeCell ref="D1:K1"/>
    <mergeCell ref="D2:K2"/>
    <mergeCell ref="D3:K3"/>
    <mergeCell ref="A1:C1"/>
    <mergeCell ref="A2:C2"/>
    <mergeCell ref="A3:C3"/>
  </mergeCells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5D833B-7DBC-467D-A069-410B29914464}">
          <x14:formula1>
            <xm:f>#REF!</xm:f>
          </x14:formula1>
          <xm:sqref>L7:L78 G7:G78</xm:sqref>
        </x14:dataValidation>
        <x14:dataValidation type="list" allowBlank="1" showInputMessage="1" showErrorMessage="1" xr:uid="{00000000-0002-0000-0000-000007000000}">
          <x14:formula1>
            <xm:f>#REF!</xm:f>
          </x14:formula1>
          <xm:sqref>M7:M78</xm:sqref>
        </x14:dataValidation>
        <x14:dataValidation type="list" allowBlank="1" showInputMessage="1" showErrorMessage="1" xr:uid="{BB8FB745-BBEF-4D86-A8FF-64377A99CD8C}">
          <x14:formula1>
            <xm:f>#REF!</xm:f>
          </x14:formula1>
          <xm:sqref>N7:N78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23C1-654A-4BBD-9ADB-E7B0323F9DF4}">
  <sheetPr>
    <tabColor rgb="FF0070C0"/>
  </sheetPr>
  <dimension ref="A1:S82"/>
  <sheetViews>
    <sheetView zoomScale="85" zoomScaleNormal="85" workbookViewId="0">
      <pane xSplit="12" ySplit="2" topLeftCell="Q3" activePane="bottomRight" state="frozen"/>
      <selection pane="topRight" activeCell="M1" sqref="M1"/>
      <selection pane="bottomLeft" activeCell="A3" sqref="A3"/>
      <selection pane="bottomRight" activeCell="Q59" sqref="Q59"/>
    </sheetView>
  </sheetViews>
  <sheetFormatPr defaultRowHeight="15" outlineLevelCol="1" x14ac:dyDescent="0.25"/>
  <cols>
    <col min="2" max="2" width="8.7109375" bestFit="1" customWidth="1"/>
    <col min="5" max="5" width="13" bestFit="1" customWidth="1"/>
    <col min="6" max="6" width="13" customWidth="1"/>
    <col min="7" max="7" width="21.85546875" bestFit="1" customWidth="1"/>
    <col min="8" max="8" width="51.140625" customWidth="1"/>
    <col min="9" max="9" width="16.5703125" style="3" bestFit="1" customWidth="1"/>
    <col min="10" max="10" width="25.28515625" style="2" customWidth="1"/>
    <col min="11" max="13" width="15.7109375" style="2" customWidth="1"/>
    <col min="14" max="14" width="13.85546875" style="2" customWidth="1"/>
    <col min="15" max="15" width="12.28515625" customWidth="1" outlineLevel="1"/>
    <col min="16" max="16" width="27.28515625" style="25" customWidth="1" outlineLevel="1"/>
    <col min="17" max="17" width="117.85546875" customWidth="1"/>
    <col min="18" max="18" width="41.140625" hidden="1" customWidth="1" outlineLevel="1"/>
    <col min="19" max="19" width="8.85546875" collapsed="1"/>
  </cols>
  <sheetData>
    <row r="1" spans="1:18" ht="31.9" customHeight="1" x14ac:dyDescent="0.25">
      <c r="A1" s="103" t="s">
        <v>45</v>
      </c>
      <c r="B1" s="104" t="s">
        <v>41</v>
      </c>
      <c r="C1" s="105" t="s">
        <v>24</v>
      </c>
      <c r="D1" s="105" t="s">
        <v>22</v>
      </c>
      <c r="E1" s="105" t="s">
        <v>25</v>
      </c>
      <c r="F1" s="133" t="s">
        <v>23</v>
      </c>
      <c r="G1" s="114" t="s">
        <v>138</v>
      </c>
      <c r="H1" s="135" t="s">
        <v>0</v>
      </c>
      <c r="I1" s="118" t="s">
        <v>101</v>
      </c>
      <c r="J1" s="125" t="s">
        <v>155</v>
      </c>
      <c r="K1" s="120" t="s">
        <v>156</v>
      </c>
      <c r="L1" s="149" t="s">
        <v>151</v>
      </c>
      <c r="M1" s="139" t="s">
        <v>36</v>
      </c>
      <c r="N1" s="140" t="s">
        <v>43</v>
      </c>
      <c r="O1" s="143" t="s">
        <v>79</v>
      </c>
      <c r="P1" s="101" t="s">
        <v>21</v>
      </c>
      <c r="Q1" s="146" t="s">
        <v>20</v>
      </c>
      <c r="R1" s="100" t="s">
        <v>37</v>
      </c>
    </row>
    <row r="2" spans="1:18" ht="30.75" thickBot="1" x14ac:dyDescent="0.3">
      <c r="A2" s="106" t="s">
        <v>120</v>
      </c>
      <c r="B2" s="107" t="s">
        <v>136</v>
      </c>
      <c r="C2" s="108" t="s">
        <v>122</v>
      </c>
      <c r="D2" s="108" t="s">
        <v>123</v>
      </c>
      <c r="E2" s="108" t="s">
        <v>133</v>
      </c>
      <c r="F2" s="134" t="s">
        <v>124</v>
      </c>
      <c r="G2" s="115" t="s">
        <v>132</v>
      </c>
      <c r="H2" s="136" t="s">
        <v>125</v>
      </c>
      <c r="I2" s="119" t="s">
        <v>126</v>
      </c>
      <c r="J2" s="126" t="s">
        <v>121</v>
      </c>
      <c r="K2" s="137" t="s">
        <v>128</v>
      </c>
      <c r="L2" s="138" t="s">
        <v>127</v>
      </c>
      <c r="M2" s="141" t="s">
        <v>129</v>
      </c>
      <c r="N2" s="142" t="s">
        <v>130</v>
      </c>
      <c r="O2" s="144" t="s">
        <v>131</v>
      </c>
      <c r="P2" s="148" t="s">
        <v>134</v>
      </c>
      <c r="Q2" s="147" t="s">
        <v>135</v>
      </c>
      <c r="R2" s="102"/>
    </row>
    <row r="3" spans="1:18" x14ac:dyDescent="0.25">
      <c r="A3" s="95" t="s">
        <v>152</v>
      </c>
      <c r="B3" s="96">
        <v>2</v>
      </c>
      <c r="C3" s="96" t="s">
        <v>88</v>
      </c>
      <c r="D3" s="97" t="s">
        <v>11</v>
      </c>
      <c r="E3" s="96" t="s">
        <v>154</v>
      </c>
      <c r="F3" s="129">
        <v>1</v>
      </c>
      <c r="G3" s="69" t="s">
        <v>31</v>
      </c>
      <c r="H3" s="64" t="s">
        <v>69</v>
      </c>
      <c r="I3" s="80" t="s">
        <v>39</v>
      </c>
      <c r="J3" s="130" t="s">
        <v>16</v>
      </c>
      <c r="K3" s="98"/>
      <c r="L3" s="89"/>
      <c r="M3" s="131"/>
      <c r="N3" s="132"/>
      <c r="O3" s="99">
        <v>12</v>
      </c>
      <c r="P3" t="s">
        <v>44</v>
      </c>
      <c r="Q3" s="13" t="s">
        <v>97</v>
      </c>
      <c r="R3" s="13"/>
    </row>
    <row r="4" spans="1:18" x14ac:dyDescent="0.25">
      <c r="A4" s="1" t="str">
        <f>A3</f>
        <v>ШСАУ</v>
      </c>
      <c r="B4" s="35">
        <f>B3</f>
        <v>2</v>
      </c>
      <c r="C4" s="35" t="str">
        <f>C3</f>
        <v>А4.4</v>
      </c>
      <c r="D4" s="35" t="str">
        <f>D3</f>
        <v>DI</v>
      </c>
      <c r="E4" s="35" t="str">
        <f>E3</f>
        <v>192.168.10.70</v>
      </c>
      <c r="F4" s="84">
        <v>2</v>
      </c>
      <c r="G4" s="69" t="s">
        <v>31</v>
      </c>
      <c r="H4" s="65" t="s">
        <v>72</v>
      </c>
      <c r="I4" s="80" t="s">
        <v>39</v>
      </c>
      <c r="J4" s="85" t="s">
        <v>16</v>
      </c>
      <c r="K4" s="58"/>
      <c r="L4" s="89"/>
      <c r="M4" s="5"/>
      <c r="N4" s="82"/>
      <c r="O4" s="23">
        <v>12</v>
      </c>
      <c r="P4" t="s">
        <v>44</v>
      </c>
      <c r="Q4" s="13" t="s">
        <v>97</v>
      </c>
      <c r="R4" s="13"/>
    </row>
    <row r="5" spans="1:18" x14ac:dyDescent="0.25">
      <c r="A5" s="1" t="str">
        <f t="shared" ref="A5:A18" si="0">A4</f>
        <v>ШСАУ</v>
      </c>
      <c r="B5" s="35">
        <f t="shared" ref="B5:B18" si="1">B4</f>
        <v>2</v>
      </c>
      <c r="C5" s="35" t="str">
        <f t="shared" ref="C5:C18" si="2">C4</f>
        <v>А4.4</v>
      </c>
      <c r="D5" s="35" t="str">
        <f t="shared" ref="D5:D18" si="3">D4</f>
        <v>DI</v>
      </c>
      <c r="E5" s="35" t="str">
        <f t="shared" ref="E5:E18" si="4">E4</f>
        <v>192.168.10.70</v>
      </c>
      <c r="F5" s="84">
        <v>3</v>
      </c>
      <c r="G5" s="69" t="s">
        <v>31</v>
      </c>
      <c r="H5" s="65" t="s">
        <v>73</v>
      </c>
      <c r="I5" s="80" t="s">
        <v>39</v>
      </c>
      <c r="J5" s="85" t="s">
        <v>16</v>
      </c>
      <c r="K5" s="58"/>
      <c r="L5" s="89"/>
      <c r="M5" s="5"/>
      <c r="N5" s="82"/>
      <c r="O5" s="23">
        <v>12</v>
      </c>
      <c r="P5" t="s">
        <v>86</v>
      </c>
      <c r="Q5" s="13"/>
      <c r="R5" s="13"/>
    </row>
    <row r="6" spans="1:18" x14ac:dyDescent="0.25">
      <c r="A6" s="1" t="str">
        <f t="shared" si="0"/>
        <v>ШСАУ</v>
      </c>
      <c r="B6" s="35">
        <f t="shared" si="1"/>
        <v>2</v>
      </c>
      <c r="C6" s="35" t="str">
        <f t="shared" si="2"/>
        <v>А4.4</v>
      </c>
      <c r="D6" s="35" t="str">
        <f t="shared" si="3"/>
        <v>DI</v>
      </c>
      <c r="E6" s="35" t="str">
        <f t="shared" si="4"/>
        <v>192.168.10.70</v>
      </c>
      <c r="F6" s="84">
        <v>4</v>
      </c>
      <c r="G6" s="69" t="s">
        <v>31</v>
      </c>
      <c r="H6" s="65" t="s">
        <v>74</v>
      </c>
      <c r="I6" s="80" t="s">
        <v>39</v>
      </c>
      <c r="J6" s="85" t="s">
        <v>16</v>
      </c>
      <c r="K6" s="58"/>
      <c r="L6" s="89"/>
      <c r="M6" s="5"/>
      <c r="N6" s="82"/>
      <c r="O6" s="23">
        <v>12</v>
      </c>
      <c r="P6" t="s">
        <v>86</v>
      </c>
      <c r="Q6" s="13"/>
      <c r="R6" s="13"/>
    </row>
    <row r="7" spans="1:18" x14ac:dyDescent="0.25">
      <c r="A7" s="1" t="str">
        <f t="shared" si="0"/>
        <v>ШСАУ</v>
      </c>
      <c r="B7" s="35">
        <f t="shared" si="1"/>
        <v>2</v>
      </c>
      <c r="C7" s="35" t="str">
        <f t="shared" si="2"/>
        <v>А4.4</v>
      </c>
      <c r="D7" s="35" t="str">
        <f t="shared" si="3"/>
        <v>DI</v>
      </c>
      <c r="E7" s="35" t="str">
        <f t="shared" si="4"/>
        <v>192.168.10.70</v>
      </c>
      <c r="F7" s="84">
        <v>5</v>
      </c>
      <c r="G7" s="69" t="s">
        <v>31</v>
      </c>
      <c r="H7" s="65" t="s">
        <v>71</v>
      </c>
      <c r="I7" s="81" t="s">
        <v>39</v>
      </c>
      <c r="J7" s="85" t="s">
        <v>16</v>
      </c>
      <c r="K7" s="58"/>
      <c r="L7" s="89"/>
      <c r="M7" s="5"/>
      <c r="N7" s="82"/>
      <c r="O7" s="23">
        <v>12</v>
      </c>
      <c r="P7" t="s">
        <v>67</v>
      </c>
      <c r="Q7" s="13"/>
      <c r="R7" s="13"/>
    </row>
    <row r="8" spans="1:18" x14ac:dyDescent="0.25">
      <c r="A8" s="1" t="str">
        <f t="shared" si="0"/>
        <v>ШСАУ</v>
      </c>
      <c r="B8" s="35">
        <f t="shared" si="1"/>
        <v>2</v>
      </c>
      <c r="C8" s="35" t="str">
        <f t="shared" si="2"/>
        <v>А4.4</v>
      </c>
      <c r="D8" s="35" t="str">
        <f t="shared" si="3"/>
        <v>DI</v>
      </c>
      <c r="E8" s="35" t="str">
        <f t="shared" si="4"/>
        <v>192.168.10.70</v>
      </c>
      <c r="F8" s="84">
        <v>6</v>
      </c>
      <c r="G8" s="69" t="s">
        <v>31</v>
      </c>
      <c r="H8" s="65" t="s">
        <v>65</v>
      </c>
      <c r="I8" s="80" t="s">
        <v>39</v>
      </c>
      <c r="J8" s="85" t="s">
        <v>16</v>
      </c>
      <c r="K8" s="58"/>
      <c r="L8" s="89"/>
      <c r="M8" s="5"/>
      <c r="N8" s="82"/>
      <c r="O8" s="23">
        <v>12</v>
      </c>
      <c r="P8" t="s">
        <v>77</v>
      </c>
      <c r="Q8" s="13"/>
      <c r="R8" s="13"/>
    </row>
    <row r="9" spans="1:18" x14ac:dyDescent="0.25">
      <c r="A9" s="1" t="str">
        <f t="shared" si="0"/>
        <v>ШСАУ</v>
      </c>
      <c r="B9" s="35">
        <f t="shared" si="1"/>
        <v>2</v>
      </c>
      <c r="C9" s="35" t="str">
        <f t="shared" si="2"/>
        <v>А4.4</v>
      </c>
      <c r="D9" s="35" t="str">
        <f>D8</f>
        <v>DI</v>
      </c>
      <c r="E9" s="35" t="str">
        <f t="shared" si="4"/>
        <v>192.168.10.70</v>
      </c>
      <c r="F9" s="84">
        <v>7</v>
      </c>
      <c r="G9" s="69" t="s">
        <v>31</v>
      </c>
      <c r="H9" s="65" t="s">
        <v>107</v>
      </c>
      <c r="I9" s="80" t="s">
        <v>39</v>
      </c>
      <c r="J9" s="85" t="s">
        <v>16</v>
      </c>
      <c r="K9" s="58"/>
      <c r="L9" s="89"/>
      <c r="M9" s="5"/>
      <c r="N9" s="82"/>
      <c r="O9" s="23">
        <v>12</v>
      </c>
      <c r="P9" t="s">
        <v>84</v>
      </c>
      <c r="Q9" s="13"/>
      <c r="R9" s="13"/>
    </row>
    <row r="10" spans="1:18" x14ac:dyDescent="0.25">
      <c r="A10" s="1" t="str">
        <f t="shared" si="0"/>
        <v>ШСАУ</v>
      </c>
      <c r="B10" s="35">
        <f t="shared" si="1"/>
        <v>2</v>
      </c>
      <c r="C10" s="35" t="str">
        <f t="shared" si="2"/>
        <v>А4.4</v>
      </c>
      <c r="D10" s="35" t="str">
        <f t="shared" si="3"/>
        <v>DI</v>
      </c>
      <c r="E10" s="35" t="str">
        <f t="shared" si="4"/>
        <v>192.168.10.70</v>
      </c>
      <c r="F10" s="84">
        <v>8</v>
      </c>
      <c r="G10" s="69" t="s">
        <v>31</v>
      </c>
      <c r="H10" s="65" t="s">
        <v>108</v>
      </c>
      <c r="I10" s="80" t="s">
        <v>39</v>
      </c>
      <c r="J10" s="85" t="s">
        <v>16</v>
      </c>
      <c r="K10" s="58"/>
      <c r="L10" s="89"/>
      <c r="M10" s="17"/>
      <c r="N10" s="28"/>
      <c r="O10" s="23">
        <v>12</v>
      </c>
      <c r="P10" t="s">
        <v>85</v>
      </c>
      <c r="Q10" s="13"/>
      <c r="R10" s="13"/>
    </row>
    <row r="11" spans="1:18" x14ac:dyDescent="0.25">
      <c r="A11" s="1" t="str">
        <f t="shared" si="0"/>
        <v>ШСАУ</v>
      </c>
      <c r="B11" s="35">
        <f t="shared" si="1"/>
        <v>2</v>
      </c>
      <c r="C11" s="35" t="str">
        <f t="shared" si="2"/>
        <v>А4.4</v>
      </c>
      <c r="D11" s="35" t="str">
        <f t="shared" si="3"/>
        <v>DI</v>
      </c>
      <c r="E11" s="35" t="str">
        <f t="shared" si="4"/>
        <v>192.168.10.70</v>
      </c>
      <c r="F11" s="84">
        <v>9</v>
      </c>
      <c r="G11" s="69" t="s">
        <v>31</v>
      </c>
      <c r="H11" s="65" t="s">
        <v>113</v>
      </c>
      <c r="I11" s="80" t="s">
        <v>39</v>
      </c>
      <c r="J11" s="85" t="s">
        <v>16</v>
      </c>
      <c r="K11" s="58"/>
      <c r="L11" s="89"/>
      <c r="M11" s="17"/>
      <c r="N11" s="28"/>
      <c r="O11" s="23">
        <v>13</v>
      </c>
      <c r="P11" t="s">
        <v>86</v>
      </c>
      <c r="Q11" s="13" t="s">
        <v>114</v>
      </c>
      <c r="R11" s="13"/>
    </row>
    <row r="12" spans="1:18" x14ac:dyDescent="0.25">
      <c r="A12" s="1" t="str">
        <f t="shared" si="0"/>
        <v>ШСАУ</v>
      </c>
      <c r="B12" s="35">
        <f t="shared" si="1"/>
        <v>2</v>
      </c>
      <c r="C12" s="35" t="str">
        <f t="shared" si="2"/>
        <v>А4.4</v>
      </c>
      <c r="D12" s="35" t="str">
        <f t="shared" si="3"/>
        <v>DI</v>
      </c>
      <c r="E12" s="35" t="str">
        <f t="shared" si="4"/>
        <v>192.168.10.70</v>
      </c>
      <c r="F12" s="84">
        <v>10</v>
      </c>
      <c r="G12" s="69" t="s">
        <v>31</v>
      </c>
      <c r="H12" s="65" t="s">
        <v>112</v>
      </c>
      <c r="I12" s="80" t="s">
        <v>39</v>
      </c>
      <c r="J12" s="85" t="s">
        <v>16</v>
      </c>
      <c r="K12" s="59"/>
      <c r="L12" s="89"/>
      <c r="M12" s="17"/>
      <c r="N12" s="28"/>
      <c r="O12" s="23">
        <v>13</v>
      </c>
      <c r="P12" t="s">
        <v>44</v>
      </c>
      <c r="Q12" s="13" t="s">
        <v>96</v>
      </c>
      <c r="R12" s="13"/>
    </row>
    <row r="13" spans="1:18" x14ac:dyDescent="0.25">
      <c r="A13" s="1" t="str">
        <f t="shared" si="0"/>
        <v>ШСАУ</v>
      </c>
      <c r="B13" s="35">
        <f t="shared" si="1"/>
        <v>2</v>
      </c>
      <c r="C13" s="35" t="str">
        <f t="shared" si="2"/>
        <v>А4.4</v>
      </c>
      <c r="D13" s="35" t="str">
        <f t="shared" si="3"/>
        <v>DI</v>
      </c>
      <c r="E13" s="35" t="str">
        <f t="shared" si="4"/>
        <v>192.168.10.70</v>
      </c>
      <c r="F13" s="84">
        <v>11</v>
      </c>
      <c r="G13" s="69" t="s">
        <v>31</v>
      </c>
      <c r="H13" s="65" t="s">
        <v>46</v>
      </c>
      <c r="I13" s="80" t="s">
        <v>39</v>
      </c>
      <c r="J13" s="85" t="s">
        <v>16</v>
      </c>
      <c r="K13" s="59"/>
      <c r="L13" s="89"/>
      <c r="M13" s="17"/>
      <c r="N13" s="28"/>
      <c r="O13" s="23">
        <v>13</v>
      </c>
      <c r="P13" t="s">
        <v>76</v>
      </c>
      <c r="Q13" s="13" t="s">
        <v>94</v>
      </c>
      <c r="R13" s="13"/>
    </row>
    <row r="14" spans="1:18" x14ac:dyDescent="0.25">
      <c r="A14" s="1" t="str">
        <f t="shared" si="0"/>
        <v>ШСАУ</v>
      </c>
      <c r="B14" s="35">
        <f t="shared" si="1"/>
        <v>2</v>
      </c>
      <c r="C14" s="35" t="str">
        <f t="shared" si="2"/>
        <v>А4.4</v>
      </c>
      <c r="D14" s="35" t="str">
        <f t="shared" si="3"/>
        <v>DI</v>
      </c>
      <c r="E14" s="35" t="str">
        <f t="shared" si="4"/>
        <v>192.168.10.70</v>
      </c>
      <c r="F14" s="84">
        <v>12</v>
      </c>
      <c r="G14" s="69" t="s">
        <v>31</v>
      </c>
      <c r="H14" s="65" t="s">
        <v>47</v>
      </c>
      <c r="I14" s="80" t="s">
        <v>39</v>
      </c>
      <c r="J14" s="85" t="s">
        <v>16</v>
      </c>
      <c r="K14" s="59"/>
      <c r="L14" s="89"/>
      <c r="M14" s="17"/>
      <c r="N14" s="28"/>
      <c r="O14" s="23">
        <v>13</v>
      </c>
      <c r="P14" t="s">
        <v>86</v>
      </c>
      <c r="Q14" s="13" t="s">
        <v>93</v>
      </c>
      <c r="R14" s="13"/>
    </row>
    <row r="15" spans="1:18" x14ac:dyDescent="0.25">
      <c r="A15" s="1" t="str">
        <f t="shared" si="0"/>
        <v>ШСАУ</v>
      </c>
      <c r="B15" s="35">
        <f>B14</f>
        <v>2</v>
      </c>
      <c r="C15" s="35" t="str">
        <f>C14</f>
        <v>А4.4</v>
      </c>
      <c r="D15" s="35" t="str">
        <f t="shared" si="3"/>
        <v>DI</v>
      </c>
      <c r="E15" s="35" t="str">
        <f t="shared" si="4"/>
        <v>192.168.10.70</v>
      </c>
      <c r="F15" s="84">
        <v>13</v>
      </c>
      <c r="G15" s="69" t="s">
        <v>31</v>
      </c>
      <c r="H15" s="65" t="s">
        <v>48</v>
      </c>
      <c r="I15" s="80" t="s">
        <v>39</v>
      </c>
      <c r="J15" s="85" t="s">
        <v>16</v>
      </c>
      <c r="K15" s="59"/>
      <c r="L15" s="89"/>
      <c r="M15" s="17"/>
      <c r="N15" s="28"/>
      <c r="O15" s="23">
        <v>13</v>
      </c>
      <c r="P15" t="s">
        <v>86</v>
      </c>
      <c r="Q15" s="13" t="s">
        <v>93</v>
      </c>
      <c r="R15" s="13"/>
    </row>
    <row r="16" spans="1:18" x14ac:dyDescent="0.25">
      <c r="A16" s="1" t="str">
        <f t="shared" si="0"/>
        <v>ШСАУ</v>
      </c>
      <c r="B16" s="35">
        <f t="shared" si="1"/>
        <v>2</v>
      </c>
      <c r="C16" s="35" t="str">
        <f t="shared" si="2"/>
        <v>А4.4</v>
      </c>
      <c r="D16" s="35" t="str">
        <f t="shared" si="3"/>
        <v>DI</v>
      </c>
      <c r="E16" s="35" t="str">
        <f t="shared" si="4"/>
        <v>192.168.10.70</v>
      </c>
      <c r="F16" s="84">
        <v>14</v>
      </c>
      <c r="G16" s="69" t="s">
        <v>31</v>
      </c>
      <c r="H16" s="65" t="s">
        <v>49</v>
      </c>
      <c r="I16" s="80" t="s">
        <v>39</v>
      </c>
      <c r="J16" s="85" t="s">
        <v>16</v>
      </c>
      <c r="K16" s="59"/>
      <c r="L16" s="89"/>
      <c r="M16" s="17"/>
      <c r="N16" s="28"/>
      <c r="O16" s="23">
        <v>13</v>
      </c>
      <c r="P16" t="s">
        <v>86</v>
      </c>
      <c r="Q16" s="13" t="s">
        <v>93</v>
      </c>
      <c r="R16" s="13"/>
    </row>
    <row r="17" spans="1:18" x14ac:dyDescent="0.25">
      <c r="A17" s="1" t="str">
        <f t="shared" si="0"/>
        <v>ШСАУ</v>
      </c>
      <c r="B17" s="35">
        <f t="shared" si="1"/>
        <v>2</v>
      </c>
      <c r="C17" s="35" t="str">
        <f t="shared" si="2"/>
        <v>А4.4</v>
      </c>
      <c r="D17" s="35" t="str">
        <f t="shared" si="3"/>
        <v>DI</v>
      </c>
      <c r="E17" s="35" t="str">
        <f>E16</f>
        <v>192.168.10.70</v>
      </c>
      <c r="F17" s="84">
        <v>15</v>
      </c>
      <c r="G17" s="69" t="s">
        <v>31</v>
      </c>
      <c r="H17" s="65" t="s">
        <v>50</v>
      </c>
      <c r="I17" s="80" t="s">
        <v>39</v>
      </c>
      <c r="J17" s="85" t="s">
        <v>16</v>
      </c>
      <c r="K17" s="58"/>
      <c r="L17" s="89"/>
      <c r="M17" s="17"/>
      <c r="N17" s="28"/>
      <c r="O17" s="23">
        <v>13</v>
      </c>
      <c r="P17" t="s">
        <v>86</v>
      </c>
      <c r="Q17" s="13" t="s">
        <v>93</v>
      </c>
      <c r="R17" s="13"/>
    </row>
    <row r="18" spans="1:18" ht="15.75" thickBot="1" x14ac:dyDescent="0.3">
      <c r="A18" s="1" t="str">
        <f t="shared" si="0"/>
        <v>ШСАУ</v>
      </c>
      <c r="B18" s="35">
        <f t="shared" si="1"/>
        <v>2</v>
      </c>
      <c r="C18" s="35" t="str">
        <f t="shared" si="2"/>
        <v>А4.4</v>
      </c>
      <c r="D18" s="35" t="str">
        <f t="shared" si="3"/>
        <v>DI</v>
      </c>
      <c r="E18" s="35" t="str">
        <f t="shared" si="4"/>
        <v>192.168.10.70</v>
      </c>
      <c r="F18" s="177">
        <v>16</v>
      </c>
      <c r="G18" s="69" t="s">
        <v>31</v>
      </c>
      <c r="H18" s="65" t="s">
        <v>111</v>
      </c>
      <c r="I18" s="80" t="s">
        <v>39</v>
      </c>
      <c r="J18" s="164" t="s">
        <v>16</v>
      </c>
      <c r="K18" s="58"/>
      <c r="L18" s="89"/>
      <c r="M18" s="17"/>
      <c r="N18" s="28"/>
      <c r="O18" s="23">
        <v>13</v>
      </c>
      <c r="P18" t="s">
        <v>86</v>
      </c>
      <c r="Q18" s="13" t="s">
        <v>93</v>
      </c>
      <c r="R18" s="13"/>
    </row>
    <row r="19" spans="1:18" x14ac:dyDescent="0.25">
      <c r="A19" s="44" t="s">
        <v>152</v>
      </c>
      <c r="B19" s="45">
        <v>2</v>
      </c>
      <c r="C19" s="45" t="s">
        <v>89</v>
      </c>
      <c r="D19" s="46" t="s">
        <v>15</v>
      </c>
      <c r="E19" s="45" t="s">
        <v>154</v>
      </c>
      <c r="F19" s="178">
        <v>1</v>
      </c>
      <c r="G19" s="68" t="s">
        <v>31</v>
      </c>
      <c r="H19" s="63" t="s">
        <v>51</v>
      </c>
      <c r="I19" s="78" t="s">
        <v>39</v>
      </c>
      <c r="J19" s="165" t="s">
        <v>16</v>
      </c>
      <c r="K19" s="57"/>
      <c r="L19" s="88"/>
      <c r="M19" s="91"/>
      <c r="N19" s="30"/>
      <c r="O19" s="22">
        <v>14</v>
      </c>
      <c r="P19" s="14"/>
      <c r="Q19" s="13"/>
      <c r="R19" s="13"/>
    </row>
    <row r="20" spans="1:18" x14ac:dyDescent="0.25">
      <c r="A20" s="1" t="str">
        <f>A19</f>
        <v>ШСАУ</v>
      </c>
      <c r="B20" s="35">
        <f>B19</f>
        <v>2</v>
      </c>
      <c r="C20" s="35" t="str">
        <f>C19</f>
        <v>А4.5</v>
      </c>
      <c r="D20" s="35" t="str">
        <f>D19</f>
        <v>DO</v>
      </c>
      <c r="E20" s="35" t="str">
        <f>E19</f>
        <v>192.168.10.70</v>
      </c>
      <c r="F20" s="179">
        <v>2</v>
      </c>
      <c r="G20" s="69" t="s">
        <v>31</v>
      </c>
      <c r="H20" s="65" t="s">
        <v>52</v>
      </c>
      <c r="I20" s="12" t="s">
        <v>39</v>
      </c>
      <c r="J20" s="166" t="s">
        <v>16</v>
      </c>
      <c r="K20" s="58"/>
      <c r="L20" s="89"/>
      <c r="M20" s="19"/>
      <c r="N20" s="17"/>
      <c r="O20" s="23">
        <v>14</v>
      </c>
      <c r="P20" s="14"/>
      <c r="Q20" s="13"/>
      <c r="R20" s="13"/>
    </row>
    <row r="21" spans="1:18" x14ac:dyDescent="0.25">
      <c r="A21" s="1" t="str">
        <f>A20</f>
        <v>ШСАУ</v>
      </c>
      <c r="B21" s="35">
        <f t="shared" ref="B21:B32" si="5">B20</f>
        <v>2</v>
      </c>
      <c r="C21" s="35" t="str">
        <f t="shared" ref="C21:C32" si="6">C20</f>
        <v>А4.5</v>
      </c>
      <c r="D21" s="35" t="str">
        <f t="shared" ref="D21:D32" si="7">D20</f>
        <v>DO</v>
      </c>
      <c r="E21" s="35" t="str">
        <f t="shared" ref="E21:E31" si="8">E20</f>
        <v>192.168.10.70</v>
      </c>
      <c r="F21" s="179">
        <v>3</v>
      </c>
      <c r="G21" s="69" t="s">
        <v>31</v>
      </c>
      <c r="H21" s="65" t="s">
        <v>53</v>
      </c>
      <c r="I21" s="12" t="s">
        <v>39</v>
      </c>
      <c r="J21" s="166" t="s">
        <v>16</v>
      </c>
      <c r="K21" s="58"/>
      <c r="L21" s="89"/>
      <c r="M21" s="19"/>
      <c r="N21" s="17"/>
      <c r="O21" s="23">
        <v>14</v>
      </c>
      <c r="P21" s="27" t="s">
        <v>58</v>
      </c>
      <c r="Q21" s="13"/>
      <c r="R21" s="13"/>
    </row>
    <row r="22" spans="1:18" x14ac:dyDescent="0.25">
      <c r="A22" s="1" t="str">
        <f t="shared" ref="A22:A32" si="9">A21</f>
        <v>ШСАУ</v>
      </c>
      <c r="B22" s="35">
        <f t="shared" si="5"/>
        <v>2</v>
      </c>
      <c r="C22" s="35" t="str">
        <f t="shared" si="6"/>
        <v>А4.5</v>
      </c>
      <c r="D22" s="35" t="str">
        <f t="shared" si="7"/>
        <v>DO</v>
      </c>
      <c r="E22" s="35" t="str">
        <f t="shared" si="8"/>
        <v>192.168.10.70</v>
      </c>
      <c r="F22" s="179">
        <v>4</v>
      </c>
      <c r="G22" s="69" t="s">
        <v>31</v>
      </c>
      <c r="H22" s="65" t="s">
        <v>54</v>
      </c>
      <c r="I22" s="12" t="s">
        <v>39</v>
      </c>
      <c r="J22" s="166" t="s">
        <v>16</v>
      </c>
      <c r="K22" s="58"/>
      <c r="L22" s="89"/>
      <c r="M22" s="19"/>
      <c r="N22" s="17"/>
      <c r="O22" s="23">
        <v>14</v>
      </c>
      <c r="P22" s="14"/>
      <c r="Q22" s="13"/>
      <c r="R22" s="13"/>
    </row>
    <row r="23" spans="1:18" x14ac:dyDescent="0.25">
      <c r="A23" s="1" t="str">
        <f t="shared" si="9"/>
        <v>ШСАУ</v>
      </c>
      <c r="B23" s="35">
        <f t="shared" si="5"/>
        <v>2</v>
      </c>
      <c r="C23" s="35" t="str">
        <f t="shared" si="6"/>
        <v>А4.5</v>
      </c>
      <c r="D23" s="35" t="str">
        <f t="shared" si="7"/>
        <v>DO</v>
      </c>
      <c r="E23" s="35" t="str">
        <f t="shared" si="8"/>
        <v>192.168.10.70</v>
      </c>
      <c r="F23" s="179">
        <v>5</v>
      </c>
      <c r="G23" s="69" t="s">
        <v>31</v>
      </c>
      <c r="H23" s="65" t="s">
        <v>55</v>
      </c>
      <c r="I23" s="12" t="s">
        <v>39</v>
      </c>
      <c r="J23" s="166" t="s">
        <v>16</v>
      </c>
      <c r="K23" s="58"/>
      <c r="L23" s="89"/>
      <c r="M23" s="19"/>
      <c r="N23" s="17"/>
      <c r="O23" s="23">
        <v>14</v>
      </c>
      <c r="P23" s="14"/>
      <c r="Q23" s="13"/>
      <c r="R23" s="13"/>
    </row>
    <row r="24" spans="1:18" x14ac:dyDescent="0.25">
      <c r="A24" s="1" t="str">
        <f t="shared" si="9"/>
        <v>ШСАУ</v>
      </c>
      <c r="B24" s="35">
        <f t="shared" si="5"/>
        <v>2</v>
      </c>
      <c r="C24" s="35" t="str">
        <f t="shared" si="6"/>
        <v>А4.5</v>
      </c>
      <c r="D24" s="35" t="str">
        <f t="shared" si="7"/>
        <v>DO</v>
      </c>
      <c r="E24" s="35" t="str">
        <f>E23</f>
        <v>192.168.10.70</v>
      </c>
      <c r="F24" s="179">
        <v>6</v>
      </c>
      <c r="G24" s="69" t="s">
        <v>31</v>
      </c>
      <c r="H24" s="65" t="s">
        <v>56</v>
      </c>
      <c r="I24" s="12" t="s">
        <v>39</v>
      </c>
      <c r="J24" s="166" t="s">
        <v>16</v>
      </c>
      <c r="K24" s="58"/>
      <c r="L24" s="89"/>
      <c r="M24" s="19"/>
      <c r="N24" s="17"/>
      <c r="O24" s="23">
        <v>14</v>
      </c>
      <c r="P24" s="27" t="s">
        <v>58</v>
      </c>
      <c r="Q24" s="13"/>
      <c r="R24" s="13"/>
    </row>
    <row r="25" spans="1:18" x14ac:dyDescent="0.25">
      <c r="A25" s="1" t="str">
        <f t="shared" si="9"/>
        <v>ШСАУ</v>
      </c>
      <c r="B25" s="35">
        <f t="shared" si="5"/>
        <v>2</v>
      </c>
      <c r="C25" s="35" t="str">
        <f t="shared" si="6"/>
        <v>А4.5</v>
      </c>
      <c r="D25" s="35" t="str">
        <f t="shared" si="7"/>
        <v>DO</v>
      </c>
      <c r="E25" s="35" t="str">
        <f t="shared" si="8"/>
        <v>192.168.10.70</v>
      </c>
      <c r="F25" s="179">
        <v>7</v>
      </c>
      <c r="G25" s="69" t="s">
        <v>31</v>
      </c>
      <c r="H25" s="65" t="s">
        <v>109</v>
      </c>
      <c r="I25" s="12" t="s">
        <v>39</v>
      </c>
      <c r="J25" s="166" t="s">
        <v>16</v>
      </c>
      <c r="K25" s="58"/>
      <c r="L25" s="89"/>
      <c r="M25" s="19"/>
      <c r="N25" s="17"/>
      <c r="O25" s="23">
        <v>14</v>
      </c>
      <c r="P25"/>
      <c r="Q25" s="13"/>
      <c r="R25" s="13"/>
    </row>
    <row r="26" spans="1:18" x14ac:dyDescent="0.25">
      <c r="A26" s="1" t="str">
        <f t="shared" si="9"/>
        <v>ШСАУ</v>
      </c>
      <c r="B26" s="35">
        <f t="shared" si="5"/>
        <v>2</v>
      </c>
      <c r="C26" s="35" t="str">
        <f t="shared" si="6"/>
        <v>А4.5</v>
      </c>
      <c r="D26" s="35" t="str">
        <f t="shared" si="7"/>
        <v>DO</v>
      </c>
      <c r="E26" s="35" t="str">
        <f t="shared" si="8"/>
        <v>192.168.10.70</v>
      </c>
      <c r="F26" s="179">
        <v>8</v>
      </c>
      <c r="G26" s="69" t="s">
        <v>31</v>
      </c>
      <c r="H26" s="65" t="s">
        <v>110</v>
      </c>
      <c r="I26" s="12" t="s">
        <v>39</v>
      </c>
      <c r="J26" s="166" t="s">
        <v>16</v>
      </c>
      <c r="K26" s="58"/>
      <c r="L26" s="89"/>
      <c r="M26" s="19"/>
      <c r="N26" s="17"/>
      <c r="O26" s="23">
        <v>14</v>
      </c>
      <c r="P26"/>
      <c r="Q26" s="13"/>
      <c r="R26" s="13"/>
    </row>
    <row r="27" spans="1:18" x14ac:dyDescent="0.25">
      <c r="A27" s="1" t="str">
        <f t="shared" si="9"/>
        <v>ШСАУ</v>
      </c>
      <c r="B27" s="35">
        <f t="shared" si="5"/>
        <v>2</v>
      </c>
      <c r="C27" s="35" t="str">
        <f t="shared" si="6"/>
        <v>А4.5</v>
      </c>
      <c r="D27" s="35" t="str">
        <f t="shared" si="7"/>
        <v>DO</v>
      </c>
      <c r="E27" s="35" t="str">
        <f t="shared" si="8"/>
        <v>192.168.10.70</v>
      </c>
      <c r="F27" s="179">
        <v>9</v>
      </c>
      <c r="G27" s="69" t="s">
        <v>31</v>
      </c>
      <c r="H27" s="65" t="s">
        <v>57</v>
      </c>
      <c r="I27" s="12" t="s">
        <v>39</v>
      </c>
      <c r="J27" s="166" t="s">
        <v>16</v>
      </c>
      <c r="K27" s="58"/>
      <c r="L27" s="89"/>
      <c r="M27" s="19"/>
      <c r="N27" s="17"/>
      <c r="O27" s="23">
        <v>15</v>
      </c>
      <c r="P27" t="s">
        <v>76</v>
      </c>
      <c r="Q27" s="13"/>
      <c r="R27" s="13"/>
    </row>
    <row r="28" spans="1:18" x14ac:dyDescent="0.25">
      <c r="A28" s="1" t="str">
        <f t="shared" si="9"/>
        <v>ШСАУ</v>
      </c>
      <c r="B28" s="35">
        <f t="shared" si="5"/>
        <v>2</v>
      </c>
      <c r="C28" s="35" t="str">
        <f t="shared" si="6"/>
        <v>А4.5</v>
      </c>
      <c r="D28" s="35" t="str">
        <f t="shared" si="7"/>
        <v>DO</v>
      </c>
      <c r="E28" s="35" t="str">
        <f t="shared" si="8"/>
        <v>192.168.10.70</v>
      </c>
      <c r="F28" s="179">
        <v>10</v>
      </c>
      <c r="G28" s="69" t="s">
        <v>31</v>
      </c>
      <c r="H28" s="65" t="s">
        <v>87</v>
      </c>
      <c r="I28" s="12" t="s">
        <v>39</v>
      </c>
      <c r="J28" s="166" t="s">
        <v>16</v>
      </c>
      <c r="K28" s="59"/>
      <c r="L28" s="89"/>
      <c r="M28" s="19"/>
      <c r="N28" s="17"/>
      <c r="O28" s="23">
        <v>15</v>
      </c>
      <c r="P28" t="s">
        <v>76</v>
      </c>
      <c r="Q28" s="13"/>
      <c r="R28" s="13"/>
    </row>
    <row r="29" spans="1:18" x14ac:dyDescent="0.25">
      <c r="A29" s="1" t="str">
        <f t="shared" si="9"/>
        <v>ШСАУ</v>
      </c>
      <c r="B29" s="35">
        <f t="shared" si="5"/>
        <v>2</v>
      </c>
      <c r="C29" s="35" t="str">
        <f t="shared" si="6"/>
        <v>А4.5</v>
      </c>
      <c r="D29" s="35" t="str">
        <f t="shared" si="7"/>
        <v>DO</v>
      </c>
      <c r="E29" s="35" t="str">
        <f t="shared" si="8"/>
        <v>192.168.10.70</v>
      </c>
      <c r="F29" s="179">
        <v>11</v>
      </c>
      <c r="G29" s="69" t="s">
        <v>31</v>
      </c>
      <c r="H29" s="67" t="s">
        <v>1</v>
      </c>
      <c r="I29" s="12" t="s">
        <v>39</v>
      </c>
      <c r="J29" s="166" t="s">
        <v>16</v>
      </c>
      <c r="K29" s="59"/>
      <c r="L29" s="89"/>
      <c r="M29" s="19"/>
      <c r="N29" s="17"/>
      <c r="O29" s="23">
        <v>15</v>
      </c>
      <c r="P29"/>
      <c r="Q29" s="13"/>
      <c r="R29" s="13"/>
    </row>
    <row r="30" spans="1:18" x14ac:dyDescent="0.25">
      <c r="A30" s="1" t="str">
        <f t="shared" si="9"/>
        <v>ШСАУ</v>
      </c>
      <c r="B30" s="35">
        <f t="shared" si="5"/>
        <v>2</v>
      </c>
      <c r="C30" s="35" t="str">
        <f t="shared" si="6"/>
        <v>А4.5</v>
      </c>
      <c r="D30" s="35" t="str">
        <f t="shared" si="7"/>
        <v>DO</v>
      </c>
      <c r="E30" s="35" t="str">
        <f t="shared" si="8"/>
        <v>192.168.10.70</v>
      </c>
      <c r="F30" s="179">
        <v>12</v>
      </c>
      <c r="G30" s="69" t="s">
        <v>31</v>
      </c>
      <c r="H30" s="67" t="s">
        <v>1</v>
      </c>
      <c r="I30" s="12" t="s">
        <v>39</v>
      </c>
      <c r="J30" s="166" t="s">
        <v>16</v>
      </c>
      <c r="K30" s="59"/>
      <c r="L30" s="89"/>
      <c r="M30" s="19"/>
      <c r="N30" s="17"/>
      <c r="O30" s="23">
        <v>15</v>
      </c>
      <c r="P30"/>
      <c r="Q30" s="13"/>
      <c r="R30" s="13"/>
    </row>
    <row r="31" spans="1:18" x14ac:dyDescent="0.25">
      <c r="A31" s="1" t="str">
        <f t="shared" si="9"/>
        <v>ШСАУ</v>
      </c>
      <c r="B31" s="35">
        <f t="shared" si="5"/>
        <v>2</v>
      </c>
      <c r="C31" s="35" t="str">
        <f t="shared" si="6"/>
        <v>А4.5</v>
      </c>
      <c r="D31" s="35" t="str">
        <f t="shared" si="7"/>
        <v>DO</v>
      </c>
      <c r="E31" s="35" t="str">
        <f t="shared" si="8"/>
        <v>192.168.10.70</v>
      </c>
      <c r="F31" s="179">
        <v>13</v>
      </c>
      <c r="G31" s="69" t="s">
        <v>31</v>
      </c>
      <c r="H31" s="67" t="s">
        <v>1</v>
      </c>
      <c r="I31" s="12" t="s">
        <v>39</v>
      </c>
      <c r="J31" s="166" t="s">
        <v>16</v>
      </c>
      <c r="K31" s="59"/>
      <c r="L31" s="89"/>
      <c r="M31" s="19"/>
      <c r="N31" s="17"/>
      <c r="O31" s="23">
        <v>15</v>
      </c>
      <c r="P31" s="14"/>
      <c r="Q31" s="13"/>
      <c r="R31" s="13"/>
    </row>
    <row r="32" spans="1:18" x14ac:dyDescent="0.25">
      <c r="A32" s="1" t="str">
        <f t="shared" si="9"/>
        <v>ШСАУ</v>
      </c>
      <c r="B32" s="35">
        <f t="shared" si="5"/>
        <v>2</v>
      </c>
      <c r="C32" s="35" t="str">
        <f t="shared" si="6"/>
        <v>А4.5</v>
      </c>
      <c r="D32" s="35" t="str">
        <f t="shared" si="7"/>
        <v>DO</v>
      </c>
      <c r="E32" s="35" t="str">
        <f>E31</f>
        <v>192.168.10.70</v>
      </c>
      <c r="F32" s="179">
        <v>14</v>
      </c>
      <c r="G32" s="69" t="s">
        <v>31</v>
      </c>
      <c r="H32" s="67" t="s">
        <v>1</v>
      </c>
      <c r="I32" s="12" t="s">
        <v>39</v>
      </c>
      <c r="J32" s="166" t="s">
        <v>16</v>
      </c>
      <c r="K32" s="59"/>
      <c r="L32" s="89"/>
      <c r="M32" s="19"/>
      <c r="N32" s="17"/>
      <c r="O32" s="23">
        <v>15</v>
      </c>
      <c r="P32" s="14"/>
      <c r="Q32" s="13"/>
      <c r="R32" s="13"/>
    </row>
    <row r="33" spans="1:18" x14ac:dyDescent="0.25">
      <c r="A33" s="1" t="str">
        <f t="shared" ref="A33:D34" si="10">A32</f>
        <v>ШСАУ</v>
      </c>
      <c r="B33" s="35">
        <f t="shared" si="10"/>
        <v>2</v>
      </c>
      <c r="C33" s="35" t="str">
        <f t="shared" si="10"/>
        <v>А4.5</v>
      </c>
      <c r="D33" s="35" t="str">
        <f t="shared" si="10"/>
        <v>DO</v>
      </c>
      <c r="E33" s="35" t="str">
        <f>E32</f>
        <v>192.168.10.70</v>
      </c>
      <c r="F33" s="179">
        <v>15</v>
      </c>
      <c r="G33" s="69" t="s">
        <v>31</v>
      </c>
      <c r="H33" s="67" t="s">
        <v>1</v>
      </c>
      <c r="I33" s="12" t="s">
        <v>39</v>
      </c>
      <c r="J33" s="166" t="s">
        <v>16</v>
      </c>
      <c r="K33" s="58"/>
      <c r="L33" s="89"/>
      <c r="M33" s="19"/>
      <c r="N33" s="17"/>
      <c r="O33" s="23">
        <v>15</v>
      </c>
      <c r="P33" s="14"/>
      <c r="Q33" s="13"/>
      <c r="R33" s="13"/>
    </row>
    <row r="34" spans="1:18" ht="15.75" thickBot="1" x14ac:dyDescent="0.3">
      <c r="A34" s="1" t="str">
        <f t="shared" si="10"/>
        <v>ШСАУ</v>
      </c>
      <c r="B34" s="35">
        <f t="shared" si="10"/>
        <v>2</v>
      </c>
      <c r="C34" s="35" t="str">
        <f t="shared" si="10"/>
        <v>А4.5</v>
      </c>
      <c r="D34" s="35" t="str">
        <f t="shared" si="10"/>
        <v>DO</v>
      </c>
      <c r="E34" s="35" t="str">
        <f>E33</f>
        <v>192.168.10.70</v>
      </c>
      <c r="F34" s="180">
        <v>16</v>
      </c>
      <c r="G34" s="69" t="s">
        <v>31</v>
      </c>
      <c r="H34" s="67" t="s">
        <v>1</v>
      </c>
      <c r="I34" s="12" t="s">
        <v>39</v>
      </c>
      <c r="J34" s="167" t="s">
        <v>16</v>
      </c>
      <c r="K34" s="58"/>
      <c r="L34" s="89"/>
      <c r="M34" s="19"/>
      <c r="N34" s="17"/>
      <c r="O34" s="23">
        <v>15</v>
      </c>
      <c r="P34"/>
      <c r="Q34" s="13"/>
      <c r="R34" s="13"/>
    </row>
    <row r="35" spans="1:18" x14ac:dyDescent="0.25">
      <c r="A35" s="44" t="s">
        <v>152</v>
      </c>
      <c r="B35" s="45">
        <v>3</v>
      </c>
      <c r="C35" s="45" t="s">
        <v>90</v>
      </c>
      <c r="D35" s="46" t="s">
        <v>11</v>
      </c>
      <c r="E35" s="45" t="s">
        <v>154</v>
      </c>
      <c r="F35" s="83">
        <v>1</v>
      </c>
      <c r="G35" s="68" t="s">
        <v>31</v>
      </c>
      <c r="H35" s="63" t="s">
        <v>69</v>
      </c>
      <c r="I35" s="78" t="s">
        <v>40</v>
      </c>
      <c r="J35" s="90" t="s">
        <v>117</v>
      </c>
      <c r="K35" s="57"/>
      <c r="L35" s="88"/>
      <c r="M35" s="79"/>
      <c r="N35" s="79"/>
      <c r="O35" s="22">
        <v>17</v>
      </c>
      <c r="P35" t="s">
        <v>44</v>
      </c>
      <c r="Q35" s="13" t="s">
        <v>97</v>
      </c>
      <c r="R35" s="13"/>
    </row>
    <row r="36" spans="1:18" x14ac:dyDescent="0.25">
      <c r="A36" s="1" t="str">
        <f>A35</f>
        <v>ШСАУ</v>
      </c>
      <c r="B36" s="35">
        <f>B35</f>
        <v>3</v>
      </c>
      <c r="C36" s="35" t="str">
        <f>C35</f>
        <v>А4.6</v>
      </c>
      <c r="D36" s="35" t="str">
        <f>D35</f>
        <v>DI</v>
      </c>
      <c r="E36" s="35" t="str">
        <f>E35</f>
        <v>192.168.10.70</v>
      </c>
      <c r="F36" s="84">
        <v>2</v>
      </c>
      <c r="G36" s="69" t="s">
        <v>31</v>
      </c>
      <c r="H36" s="65" t="s">
        <v>72</v>
      </c>
      <c r="I36" s="12" t="s">
        <v>40</v>
      </c>
      <c r="J36" s="55" t="s">
        <v>117</v>
      </c>
      <c r="K36" s="58"/>
      <c r="L36" s="89"/>
      <c r="M36" s="5"/>
      <c r="N36" s="5"/>
      <c r="O36" s="23">
        <v>17</v>
      </c>
      <c r="P36" t="s">
        <v>44</v>
      </c>
      <c r="Q36" s="13" t="s">
        <v>97</v>
      </c>
      <c r="R36" s="13"/>
    </row>
    <row r="37" spans="1:18" x14ac:dyDescent="0.25">
      <c r="A37" s="1" t="str">
        <f t="shared" ref="A37:A49" si="11">A36</f>
        <v>ШСАУ</v>
      </c>
      <c r="B37" s="35">
        <f t="shared" ref="B37:B49" si="12">B36</f>
        <v>3</v>
      </c>
      <c r="C37" s="35" t="str">
        <f t="shared" ref="C37:C49" si="13">C36</f>
        <v>А4.6</v>
      </c>
      <c r="D37" s="35" t="str">
        <f t="shared" ref="D37:D49" si="14">D36</f>
        <v>DI</v>
      </c>
      <c r="E37" s="35" t="str">
        <f t="shared" ref="E37:E49" si="15">E36</f>
        <v>192.168.10.70</v>
      </c>
      <c r="F37" s="84">
        <v>3</v>
      </c>
      <c r="G37" s="69" t="s">
        <v>31</v>
      </c>
      <c r="H37" s="65" t="s">
        <v>73</v>
      </c>
      <c r="I37" s="12" t="s">
        <v>40</v>
      </c>
      <c r="J37" s="55" t="s">
        <v>117</v>
      </c>
      <c r="K37" s="58"/>
      <c r="L37" s="89"/>
      <c r="M37" s="5"/>
      <c r="N37" s="5"/>
      <c r="O37" s="23">
        <v>17</v>
      </c>
      <c r="P37" t="s">
        <v>86</v>
      </c>
      <c r="Q37" s="13"/>
      <c r="R37" s="13"/>
    </row>
    <row r="38" spans="1:18" x14ac:dyDescent="0.25">
      <c r="A38" s="1" t="str">
        <f t="shared" si="11"/>
        <v>ШСАУ</v>
      </c>
      <c r="B38" s="35">
        <f t="shared" si="12"/>
        <v>3</v>
      </c>
      <c r="C38" s="35" t="str">
        <f t="shared" si="13"/>
        <v>А4.6</v>
      </c>
      <c r="D38" s="35" t="str">
        <f t="shared" si="14"/>
        <v>DI</v>
      </c>
      <c r="E38" s="35" t="str">
        <f t="shared" si="15"/>
        <v>192.168.10.70</v>
      </c>
      <c r="F38" s="84">
        <v>4</v>
      </c>
      <c r="G38" s="69" t="s">
        <v>31</v>
      </c>
      <c r="H38" s="65" t="s">
        <v>74</v>
      </c>
      <c r="I38" s="12" t="s">
        <v>40</v>
      </c>
      <c r="J38" s="55" t="s">
        <v>117</v>
      </c>
      <c r="K38" s="58"/>
      <c r="L38" s="89"/>
      <c r="M38" s="5"/>
      <c r="N38" s="5"/>
      <c r="O38" s="23">
        <v>17</v>
      </c>
      <c r="P38" t="s">
        <v>86</v>
      </c>
      <c r="Q38" s="13"/>
      <c r="R38" s="13"/>
    </row>
    <row r="39" spans="1:18" x14ac:dyDescent="0.25">
      <c r="A39" s="1" t="str">
        <f t="shared" si="11"/>
        <v>ШСАУ</v>
      </c>
      <c r="B39" s="35">
        <f t="shared" si="12"/>
        <v>3</v>
      </c>
      <c r="C39" s="35" t="str">
        <f t="shared" si="13"/>
        <v>А4.6</v>
      </c>
      <c r="D39" s="35" t="str">
        <f t="shared" si="14"/>
        <v>DI</v>
      </c>
      <c r="E39" s="35" t="str">
        <f>E38</f>
        <v>192.168.10.70</v>
      </c>
      <c r="F39" s="84">
        <v>5</v>
      </c>
      <c r="G39" s="69" t="s">
        <v>31</v>
      </c>
      <c r="H39" s="65" t="s">
        <v>71</v>
      </c>
      <c r="I39" s="21" t="s">
        <v>40</v>
      </c>
      <c r="J39" s="55" t="s">
        <v>117</v>
      </c>
      <c r="K39" s="58"/>
      <c r="L39" s="89"/>
      <c r="M39" s="5"/>
      <c r="N39" s="5"/>
      <c r="O39" s="23">
        <v>17</v>
      </c>
      <c r="P39" t="s">
        <v>67</v>
      </c>
      <c r="Q39" s="13"/>
      <c r="R39" s="13"/>
    </row>
    <row r="40" spans="1:18" x14ac:dyDescent="0.25">
      <c r="A40" s="1" t="str">
        <f t="shared" si="11"/>
        <v>ШСАУ</v>
      </c>
      <c r="B40" s="35">
        <f t="shared" si="12"/>
        <v>3</v>
      </c>
      <c r="C40" s="35" t="str">
        <f t="shared" si="13"/>
        <v>А4.6</v>
      </c>
      <c r="D40" s="35" t="str">
        <f t="shared" si="14"/>
        <v>DI</v>
      </c>
      <c r="E40" s="35" t="str">
        <f t="shared" si="15"/>
        <v>192.168.10.70</v>
      </c>
      <c r="F40" s="84">
        <v>6</v>
      </c>
      <c r="G40" s="69" t="s">
        <v>31</v>
      </c>
      <c r="H40" s="65" t="s">
        <v>65</v>
      </c>
      <c r="I40" s="12" t="s">
        <v>40</v>
      </c>
      <c r="J40" s="55" t="s">
        <v>117</v>
      </c>
      <c r="K40" s="58"/>
      <c r="L40" s="89"/>
      <c r="M40" s="5"/>
      <c r="N40" s="5"/>
      <c r="O40" s="23">
        <v>17</v>
      </c>
      <c r="P40" t="s">
        <v>77</v>
      </c>
      <c r="Q40" s="13"/>
      <c r="R40" s="13"/>
    </row>
    <row r="41" spans="1:18" x14ac:dyDescent="0.25">
      <c r="A41" s="1" t="str">
        <f t="shared" si="11"/>
        <v>ШСАУ</v>
      </c>
      <c r="B41" s="35">
        <f t="shared" si="12"/>
        <v>3</v>
      </c>
      <c r="C41" s="35" t="str">
        <f t="shared" si="13"/>
        <v>А4.6</v>
      </c>
      <c r="D41" s="35" t="str">
        <f t="shared" si="14"/>
        <v>DI</v>
      </c>
      <c r="E41" s="35" t="str">
        <f t="shared" si="15"/>
        <v>192.168.10.70</v>
      </c>
      <c r="F41" s="84">
        <v>7</v>
      </c>
      <c r="G41" s="69" t="s">
        <v>31</v>
      </c>
      <c r="H41" s="65" t="s">
        <v>107</v>
      </c>
      <c r="I41" s="12" t="s">
        <v>40</v>
      </c>
      <c r="J41" s="55" t="s">
        <v>117</v>
      </c>
      <c r="K41" s="58"/>
      <c r="L41" s="89"/>
      <c r="M41" s="5"/>
      <c r="N41" s="5"/>
      <c r="O41" s="23">
        <v>17</v>
      </c>
      <c r="P41" t="s">
        <v>84</v>
      </c>
      <c r="Q41" s="13"/>
      <c r="R41" s="13"/>
    </row>
    <row r="42" spans="1:18" x14ac:dyDescent="0.25">
      <c r="A42" s="1" t="str">
        <f t="shared" si="11"/>
        <v>ШСАУ</v>
      </c>
      <c r="B42" s="35">
        <f t="shared" si="12"/>
        <v>3</v>
      </c>
      <c r="C42" s="35" t="str">
        <f t="shared" si="13"/>
        <v>А4.6</v>
      </c>
      <c r="D42" s="35" t="str">
        <f t="shared" si="14"/>
        <v>DI</v>
      </c>
      <c r="E42" s="35" t="str">
        <f>E41</f>
        <v>192.168.10.70</v>
      </c>
      <c r="F42" s="84">
        <v>8</v>
      </c>
      <c r="G42" s="69" t="s">
        <v>31</v>
      </c>
      <c r="H42" s="65" t="s">
        <v>108</v>
      </c>
      <c r="I42" s="12" t="s">
        <v>40</v>
      </c>
      <c r="J42" s="55" t="s">
        <v>117</v>
      </c>
      <c r="K42" s="58"/>
      <c r="L42" s="89"/>
      <c r="M42" s="5"/>
      <c r="N42" s="5"/>
      <c r="O42" s="23">
        <v>17</v>
      </c>
      <c r="P42" t="s">
        <v>85</v>
      </c>
      <c r="Q42" s="13"/>
      <c r="R42" s="13"/>
    </row>
    <row r="43" spans="1:18" x14ac:dyDescent="0.25">
      <c r="A43" s="1" t="str">
        <f t="shared" si="11"/>
        <v>ШСАУ</v>
      </c>
      <c r="B43" s="35">
        <f t="shared" si="12"/>
        <v>3</v>
      </c>
      <c r="C43" s="35" t="str">
        <f t="shared" si="13"/>
        <v>А4.6</v>
      </c>
      <c r="D43" s="35" t="str">
        <f t="shared" si="14"/>
        <v>DI</v>
      </c>
      <c r="E43" s="35" t="str">
        <f t="shared" si="15"/>
        <v>192.168.10.70</v>
      </c>
      <c r="F43" s="84">
        <v>9</v>
      </c>
      <c r="G43" s="69" t="s">
        <v>31</v>
      </c>
      <c r="H43" s="65" t="s">
        <v>113</v>
      </c>
      <c r="I43" s="12" t="s">
        <v>40</v>
      </c>
      <c r="J43" s="55" t="s">
        <v>117</v>
      </c>
      <c r="K43" s="58"/>
      <c r="L43" s="89"/>
      <c r="M43" s="5"/>
      <c r="N43" s="5"/>
      <c r="O43" s="23">
        <v>18</v>
      </c>
      <c r="P43" t="s">
        <v>86</v>
      </c>
      <c r="Q43" s="13" t="s">
        <v>114</v>
      </c>
      <c r="R43" s="13"/>
    </row>
    <row r="44" spans="1:18" x14ac:dyDescent="0.25">
      <c r="A44" s="1" t="str">
        <f t="shared" si="11"/>
        <v>ШСАУ</v>
      </c>
      <c r="B44" s="35">
        <f t="shared" si="12"/>
        <v>3</v>
      </c>
      <c r="C44" s="35" t="str">
        <f t="shared" si="13"/>
        <v>А4.6</v>
      </c>
      <c r="D44" s="35" t="str">
        <f t="shared" si="14"/>
        <v>DI</v>
      </c>
      <c r="E44" s="35" t="str">
        <f t="shared" si="15"/>
        <v>192.168.10.70</v>
      </c>
      <c r="F44" s="84">
        <v>10</v>
      </c>
      <c r="G44" s="69" t="s">
        <v>31</v>
      </c>
      <c r="H44" s="65" t="s">
        <v>112</v>
      </c>
      <c r="I44" s="12" t="s">
        <v>40</v>
      </c>
      <c r="J44" s="55" t="s">
        <v>117</v>
      </c>
      <c r="K44" s="59"/>
      <c r="L44" s="89"/>
      <c r="M44" s="5"/>
      <c r="N44" s="5"/>
      <c r="O44" s="23">
        <v>18</v>
      </c>
      <c r="P44" t="s">
        <v>44</v>
      </c>
      <c r="Q44" s="13" t="s">
        <v>96</v>
      </c>
      <c r="R44" s="13"/>
    </row>
    <row r="45" spans="1:18" x14ac:dyDescent="0.25">
      <c r="A45" s="1" t="str">
        <f t="shared" si="11"/>
        <v>ШСАУ</v>
      </c>
      <c r="B45" s="35">
        <f t="shared" si="12"/>
        <v>3</v>
      </c>
      <c r="C45" s="35" t="str">
        <f t="shared" si="13"/>
        <v>А4.6</v>
      </c>
      <c r="D45" s="35" t="str">
        <f t="shared" si="14"/>
        <v>DI</v>
      </c>
      <c r="E45" s="35" t="str">
        <f t="shared" si="15"/>
        <v>192.168.10.70</v>
      </c>
      <c r="F45" s="84">
        <v>11</v>
      </c>
      <c r="G45" s="69" t="s">
        <v>31</v>
      </c>
      <c r="H45" s="65" t="s">
        <v>46</v>
      </c>
      <c r="I45" s="12" t="s">
        <v>40</v>
      </c>
      <c r="J45" s="55" t="s">
        <v>117</v>
      </c>
      <c r="K45" s="59"/>
      <c r="L45" s="89"/>
      <c r="M45" s="5"/>
      <c r="N45" s="5"/>
      <c r="O45" s="23">
        <v>18</v>
      </c>
      <c r="P45" t="s">
        <v>76</v>
      </c>
      <c r="Q45" s="13" t="s">
        <v>94</v>
      </c>
      <c r="R45" s="13"/>
    </row>
    <row r="46" spans="1:18" x14ac:dyDescent="0.25">
      <c r="A46" s="1" t="str">
        <f t="shared" si="11"/>
        <v>ШСАУ</v>
      </c>
      <c r="B46" s="35">
        <f t="shared" si="12"/>
        <v>3</v>
      </c>
      <c r="C46" s="35" t="str">
        <f t="shared" si="13"/>
        <v>А4.6</v>
      </c>
      <c r="D46" s="35" t="str">
        <f t="shared" si="14"/>
        <v>DI</v>
      </c>
      <c r="E46" s="35" t="str">
        <f t="shared" si="15"/>
        <v>192.168.10.70</v>
      </c>
      <c r="F46" s="84">
        <v>12</v>
      </c>
      <c r="G46" s="69" t="s">
        <v>31</v>
      </c>
      <c r="H46" s="65" t="s">
        <v>47</v>
      </c>
      <c r="I46" s="12" t="s">
        <v>40</v>
      </c>
      <c r="J46" s="55" t="s">
        <v>117</v>
      </c>
      <c r="K46" s="59"/>
      <c r="L46" s="89"/>
      <c r="M46" s="5"/>
      <c r="N46" s="5"/>
      <c r="O46" s="23">
        <v>18</v>
      </c>
      <c r="P46" t="s">
        <v>86</v>
      </c>
      <c r="Q46" s="13" t="s">
        <v>93</v>
      </c>
      <c r="R46" s="13"/>
    </row>
    <row r="47" spans="1:18" x14ac:dyDescent="0.25">
      <c r="A47" s="1" t="str">
        <f t="shared" si="11"/>
        <v>ШСАУ</v>
      </c>
      <c r="B47" s="35">
        <f t="shared" si="12"/>
        <v>3</v>
      </c>
      <c r="C47" s="35" t="str">
        <f t="shared" si="13"/>
        <v>А4.6</v>
      </c>
      <c r="D47" s="35" t="str">
        <f t="shared" si="14"/>
        <v>DI</v>
      </c>
      <c r="E47" s="35" t="str">
        <f t="shared" si="15"/>
        <v>192.168.10.70</v>
      </c>
      <c r="F47" s="84">
        <v>13</v>
      </c>
      <c r="G47" s="69" t="s">
        <v>31</v>
      </c>
      <c r="H47" s="65" t="s">
        <v>48</v>
      </c>
      <c r="I47" s="12" t="s">
        <v>40</v>
      </c>
      <c r="J47" s="55" t="s">
        <v>117</v>
      </c>
      <c r="K47" s="59"/>
      <c r="L47" s="89"/>
      <c r="M47" s="5"/>
      <c r="N47" s="5"/>
      <c r="O47" s="23">
        <v>18</v>
      </c>
      <c r="P47" t="s">
        <v>86</v>
      </c>
      <c r="Q47" s="13" t="s">
        <v>93</v>
      </c>
      <c r="R47" s="13"/>
    </row>
    <row r="48" spans="1:18" x14ac:dyDescent="0.25">
      <c r="A48" s="1" t="str">
        <f t="shared" si="11"/>
        <v>ШСАУ</v>
      </c>
      <c r="B48" s="35">
        <f t="shared" si="12"/>
        <v>3</v>
      </c>
      <c r="C48" s="35" t="str">
        <f t="shared" si="13"/>
        <v>А4.6</v>
      </c>
      <c r="D48" s="35" t="str">
        <f t="shared" si="14"/>
        <v>DI</v>
      </c>
      <c r="E48" s="35" t="str">
        <f t="shared" si="15"/>
        <v>192.168.10.70</v>
      </c>
      <c r="F48" s="84">
        <v>14</v>
      </c>
      <c r="G48" s="69" t="s">
        <v>31</v>
      </c>
      <c r="H48" s="65" t="s">
        <v>49</v>
      </c>
      <c r="I48" s="12" t="s">
        <v>40</v>
      </c>
      <c r="J48" s="55" t="s">
        <v>117</v>
      </c>
      <c r="K48" s="59"/>
      <c r="L48" s="89"/>
      <c r="M48" s="5"/>
      <c r="N48" s="5"/>
      <c r="O48" s="23">
        <v>18</v>
      </c>
      <c r="P48" t="s">
        <v>86</v>
      </c>
      <c r="Q48" s="13" t="s">
        <v>93</v>
      </c>
      <c r="R48" s="13"/>
    </row>
    <row r="49" spans="1:18" x14ac:dyDescent="0.25">
      <c r="A49" s="1" t="str">
        <f t="shared" si="11"/>
        <v>ШСАУ</v>
      </c>
      <c r="B49" s="35">
        <f t="shared" si="12"/>
        <v>3</v>
      </c>
      <c r="C49" s="35" t="str">
        <f t="shared" si="13"/>
        <v>А4.6</v>
      </c>
      <c r="D49" s="35" t="str">
        <f t="shared" si="14"/>
        <v>DI</v>
      </c>
      <c r="E49" s="35" t="str">
        <f t="shared" si="15"/>
        <v>192.168.10.70</v>
      </c>
      <c r="F49" s="84">
        <v>15</v>
      </c>
      <c r="G49" s="69" t="s">
        <v>31</v>
      </c>
      <c r="H49" s="65" t="s">
        <v>50</v>
      </c>
      <c r="I49" s="12" t="s">
        <v>40</v>
      </c>
      <c r="J49" s="55" t="s">
        <v>117</v>
      </c>
      <c r="K49" s="58"/>
      <c r="L49" s="89"/>
      <c r="M49" s="5"/>
      <c r="N49" s="5"/>
      <c r="O49" s="23">
        <v>18</v>
      </c>
      <c r="P49" t="s">
        <v>86</v>
      </c>
      <c r="Q49" s="13" t="s">
        <v>93</v>
      </c>
      <c r="R49" s="13"/>
    </row>
    <row r="50" spans="1:18" ht="15.75" thickBot="1" x14ac:dyDescent="0.3">
      <c r="A50" s="1" t="str">
        <f>A49</f>
        <v>ШСАУ</v>
      </c>
      <c r="B50" s="35">
        <f>B49</f>
        <v>3</v>
      </c>
      <c r="C50" s="35" t="str">
        <f>C49</f>
        <v>А4.6</v>
      </c>
      <c r="D50" s="35" t="str">
        <f>D49</f>
        <v>DI</v>
      </c>
      <c r="E50" s="35" t="str">
        <f>E49</f>
        <v>192.168.10.70</v>
      </c>
      <c r="F50" s="84">
        <v>16</v>
      </c>
      <c r="G50" s="69" t="s">
        <v>31</v>
      </c>
      <c r="H50" s="65" t="s">
        <v>111</v>
      </c>
      <c r="I50" s="12" t="s">
        <v>40</v>
      </c>
      <c r="J50" s="55" t="s">
        <v>117</v>
      </c>
      <c r="K50" s="58"/>
      <c r="L50" s="89"/>
      <c r="M50" s="11"/>
      <c r="N50" s="11"/>
      <c r="O50" s="23">
        <v>18</v>
      </c>
      <c r="P50" t="s">
        <v>86</v>
      </c>
      <c r="Q50" s="13" t="s">
        <v>93</v>
      </c>
      <c r="R50" s="13"/>
    </row>
    <row r="51" spans="1:18" x14ac:dyDescent="0.25">
      <c r="A51" s="44" t="s">
        <v>152</v>
      </c>
      <c r="B51" s="45">
        <v>3</v>
      </c>
      <c r="C51" s="45" t="s">
        <v>91</v>
      </c>
      <c r="D51" s="46" t="s">
        <v>15</v>
      </c>
      <c r="E51" s="45" t="s">
        <v>154</v>
      </c>
      <c r="F51" s="83">
        <v>1</v>
      </c>
      <c r="G51" s="68" t="s">
        <v>31</v>
      </c>
      <c r="H51" s="63" t="s">
        <v>51</v>
      </c>
      <c r="I51" s="78" t="s">
        <v>40</v>
      </c>
      <c r="J51" s="90" t="s">
        <v>117</v>
      </c>
      <c r="K51" s="57"/>
      <c r="L51" s="88"/>
      <c r="M51" s="92"/>
      <c r="N51" s="92"/>
      <c r="O51" s="22">
        <v>19</v>
      </c>
      <c r="P51" s="14"/>
      <c r="Q51" s="13"/>
      <c r="R51" s="13"/>
    </row>
    <row r="52" spans="1:18" x14ac:dyDescent="0.25">
      <c r="A52" s="1" t="str">
        <f>A51</f>
        <v>ШСАУ</v>
      </c>
      <c r="B52" s="35">
        <f>B51</f>
        <v>3</v>
      </c>
      <c r="C52" s="35" t="str">
        <f>C51</f>
        <v>А4.7</v>
      </c>
      <c r="D52" s="35" t="str">
        <f>D51</f>
        <v>DO</v>
      </c>
      <c r="E52" s="35" t="str">
        <f>E51</f>
        <v>192.168.10.70</v>
      </c>
      <c r="F52" s="84">
        <v>2</v>
      </c>
      <c r="G52" s="69" t="s">
        <v>31</v>
      </c>
      <c r="H52" s="65" t="s">
        <v>52</v>
      </c>
      <c r="I52" s="12" t="s">
        <v>40</v>
      </c>
      <c r="J52" s="55" t="s">
        <v>117</v>
      </c>
      <c r="K52" s="58"/>
      <c r="L52" s="89"/>
      <c r="M52" s="8"/>
      <c r="N52" s="8"/>
      <c r="O52" s="23">
        <v>19</v>
      </c>
      <c r="P52" s="14"/>
      <c r="Q52" s="13"/>
      <c r="R52" s="13"/>
    </row>
    <row r="53" spans="1:18" x14ac:dyDescent="0.25">
      <c r="A53" s="1" t="str">
        <f t="shared" ref="A53:A65" si="16">A52</f>
        <v>ШСАУ</v>
      </c>
      <c r="B53" s="35">
        <f t="shared" ref="B53:B66" si="17">B52</f>
        <v>3</v>
      </c>
      <c r="C53" s="35" t="str">
        <f t="shared" ref="C53:C66" si="18">C52</f>
        <v>А4.7</v>
      </c>
      <c r="D53" s="35" t="str">
        <f t="shared" ref="D53:D66" si="19">D52</f>
        <v>DO</v>
      </c>
      <c r="E53" s="35" t="str">
        <f t="shared" ref="E53:E65" si="20">E52</f>
        <v>192.168.10.70</v>
      </c>
      <c r="F53" s="84">
        <v>3</v>
      </c>
      <c r="G53" s="69" t="s">
        <v>31</v>
      </c>
      <c r="H53" s="65" t="s">
        <v>53</v>
      </c>
      <c r="I53" s="12" t="s">
        <v>40</v>
      </c>
      <c r="J53" s="55" t="s">
        <v>117</v>
      </c>
      <c r="K53" s="58"/>
      <c r="L53" s="89"/>
      <c r="M53" s="5"/>
      <c r="N53" s="5"/>
      <c r="O53" s="23">
        <v>19</v>
      </c>
      <c r="P53" s="26" t="s">
        <v>58</v>
      </c>
      <c r="Q53" s="13"/>
      <c r="R53" s="13"/>
    </row>
    <row r="54" spans="1:18" x14ac:dyDescent="0.25">
      <c r="A54" s="1" t="str">
        <f t="shared" si="16"/>
        <v>ШСАУ</v>
      </c>
      <c r="B54" s="35">
        <f t="shared" si="17"/>
        <v>3</v>
      </c>
      <c r="C54" s="35" t="str">
        <f t="shared" si="18"/>
        <v>А4.7</v>
      </c>
      <c r="D54" s="35" t="str">
        <f t="shared" si="19"/>
        <v>DO</v>
      </c>
      <c r="E54" s="35" t="str">
        <f t="shared" si="20"/>
        <v>192.168.10.70</v>
      </c>
      <c r="F54" s="84">
        <v>4</v>
      </c>
      <c r="G54" s="69" t="s">
        <v>31</v>
      </c>
      <c r="H54" s="65" t="s">
        <v>54</v>
      </c>
      <c r="I54" s="12" t="s">
        <v>40</v>
      </c>
      <c r="J54" s="55" t="s">
        <v>117</v>
      </c>
      <c r="K54" s="58"/>
      <c r="L54" s="89"/>
      <c r="M54" s="8"/>
      <c r="N54" s="8"/>
      <c r="O54" s="23">
        <v>19</v>
      </c>
      <c r="P54" s="14"/>
      <c r="Q54" s="13"/>
      <c r="R54" s="13"/>
    </row>
    <row r="55" spans="1:18" x14ac:dyDescent="0.25">
      <c r="A55" s="1" t="str">
        <f t="shared" si="16"/>
        <v>ШСАУ</v>
      </c>
      <c r="B55" s="35">
        <f t="shared" si="17"/>
        <v>3</v>
      </c>
      <c r="C55" s="35" t="str">
        <f t="shared" si="18"/>
        <v>А4.7</v>
      </c>
      <c r="D55" s="35" t="str">
        <f t="shared" si="19"/>
        <v>DO</v>
      </c>
      <c r="E55" s="35" t="str">
        <f t="shared" si="20"/>
        <v>192.168.10.70</v>
      </c>
      <c r="F55" s="84">
        <v>5</v>
      </c>
      <c r="G55" s="69" t="s">
        <v>31</v>
      </c>
      <c r="H55" s="65" t="s">
        <v>55</v>
      </c>
      <c r="I55" s="12" t="s">
        <v>40</v>
      </c>
      <c r="J55" s="55" t="s">
        <v>117</v>
      </c>
      <c r="K55" s="58"/>
      <c r="L55" s="89"/>
      <c r="M55" s="5"/>
      <c r="N55" s="5"/>
      <c r="O55" s="23">
        <v>19</v>
      </c>
      <c r="P55" s="14"/>
      <c r="Q55" s="13"/>
      <c r="R55" s="13"/>
    </row>
    <row r="56" spans="1:18" x14ac:dyDescent="0.25">
      <c r="A56" s="1" t="str">
        <f t="shared" si="16"/>
        <v>ШСАУ</v>
      </c>
      <c r="B56" s="35">
        <f t="shared" si="17"/>
        <v>3</v>
      </c>
      <c r="C56" s="35" t="str">
        <f t="shared" si="18"/>
        <v>А4.7</v>
      </c>
      <c r="D56" s="35" t="str">
        <f t="shared" si="19"/>
        <v>DO</v>
      </c>
      <c r="E56" s="35" t="str">
        <f t="shared" si="20"/>
        <v>192.168.10.70</v>
      </c>
      <c r="F56" s="84">
        <v>6</v>
      </c>
      <c r="G56" s="69" t="s">
        <v>31</v>
      </c>
      <c r="H56" s="65" t="s">
        <v>56</v>
      </c>
      <c r="I56" s="12" t="s">
        <v>40</v>
      </c>
      <c r="J56" s="55" t="s">
        <v>117</v>
      </c>
      <c r="K56" s="58"/>
      <c r="L56" s="89"/>
      <c r="M56" s="5"/>
      <c r="N56" s="5"/>
      <c r="O56" s="23">
        <v>19</v>
      </c>
      <c r="P56" s="26" t="s">
        <v>58</v>
      </c>
      <c r="Q56" s="13"/>
      <c r="R56" s="13"/>
    </row>
    <row r="57" spans="1:18" x14ac:dyDescent="0.25">
      <c r="A57" s="1" t="str">
        <f t="shared" si="16"/>
        <v>ШСАУ</v>
      </c>
      <c r="B57" s="35">
        <f t="shared" si="17"/>
        <v>3</v>
      </c>
      <c r="C57" s="35" t="str">
        <f t="shared" si="18"/>
        <v>А4.7</v>
      </c>
      <c r="D57" s="35" t="str">
        <f t="shared" si="19"/>
        <v>DO</v>
      </c>
      <c r="E57" s="35" t="str">
        <f t="shared" si="20"/>
        <v>192.168.10.70</v>
      </c>
      <c r="F57" s="84">
        <v>7</v>
      </c>
      <c r="G57" s="69" t="s">
        <v>31</v>
      </c>
      <c r="H57" s="65" t="s">
        <v>109</v>
      </c>
      <c r="I57" s="12" t="s">
        <v>40</v>
      </c>
      <c r="J57" s="55" t="s">
        <v>117</v>
      </c>
      <c r="K57" s="58"/>
      <c r="L57" s="89"/>
      <c r="M57" s="5"/>
      <c r="N57" s="5"/>
      <c r="O57" s="23">
        <v>19</v>
      </c>
      <c r="P57"/>
      <c r="Q57" s="13"/>
      <c r="R57" s="13"/>
    </row>
    <row r="58" spans="1:18" x14ac:dyDescent="0.25">
      <c r="A58" s="1" t="str">
        <f t="shared" si="16"/>
        <v>ШСАУ</v>
      </c>
      <c r="B58" s="35">
        <f t="shared" si="17"/>
        <v>3</v>
      </c>
      <c r="C58" s="35" t="str">
        <f t="shared" si="18"/>
        <v>А4.7</v>
      </c>
      <c r="D58" s="35" t="str">
        <f t="shared" si="19"/>
        <v>DO</v>
      </c>
      <c r="E58" s="35" t="str">
        <f t="shared" si="20"/>
        <v>192.168.10.70</v>
      </c>
      <c r="F58" s="84">
        <v>8</v>
      </c>
      <c r="G58" s="69" t="s">
        <v>31</v>
      </c>
      <c r="H58" s="65" t="s">
        <v>110</v>
      </c>
      <c r="I58" s="12" t="s">
        <v>40</v>
      </c>
      <c r="J58" s="55" t="s">
        <v>117</v>
      </c>
      <c r="K58" s="58"/>
      <c r="L58" s="89"/>
      <c r="M58" s="6"/>
      <c r="N58" s="6"/>
      <c r="O58" s="23">
        <v>19</v>
      </c>
      <c r="P58"/>
      <c r="Q58" s="13"/>
      <c r="R58" s="13"/>
    </row>
    <row r="59" spans="1:18" x14ac:dyDescent="0.25">
      <c r="A59" s="1" t="str">
        <f t="shared" si="16"/>
        <v>ШСАУ</v>
      </c>
      <c r="B59" s="35">
        <f t="shared" si="17"/>
        <v>3</v>
      </c>
      <c r="C59" s="35" t="str">
        <f t="shared" si="18"/>
        <v>А4.7</v>
      </c>
      <c r="D59" s="35" t="str">
        <f t="shared" si="19"/>
        <v>DO</v>
      </c>
      <c r="E59" s="35" t="str">
        <f t="shared" si="20"/>
        <v>192.168.10.70</v>
      </c>
      <c r="F59" s="84">
        <v>9</v>
      </c>
      <c r="G59" s="69" t="s">
        <v>31</v>
      </c>
      <c r="H59" s="65" t="s">
        <v>57</v>
      </c>
      <c r="I59" s="12" t="s">
        <v>40</v>
      </c>
      <c r="J59" s="55" t="s">
        <v>117</v>
      </c>
      <c r="K59" s="58"/>
      <c r="L59" s="89"/>
      <c r="M59" s="5"/>
      <c r="N59" s="5"/>
      <c r="O59" s="23">
        <v>20</v>
      </c>
      <c r="P59" t="s">
        <v>76</v>
      </c>
      <c r="Q59" s="13"/>
      <c r="R59" s="13"/>
    </row>
    <row r="60" spans="1:18" x14ac:dyDescent="0.25">
      <c r="A60" s="1" t="str">
        <f t="shared" si="16"/>
        <v>ШСАУ</v>
      </c>
      <c r="B60" s="35">
        <f t="shared" si="17"/>
        <v>3</v>
      </c>
      <c r="C60" s="35" t="str">
        <f t="shared" si="18"/>
        <v>А4.7</v>
      </c>
      <c r="D60" s="35" t="str">
        <f t="shared" si="19"/>
        <v>DO</v>
      </c>
      <c r="E60" s="35" t="str">
        <f t="shared" si="20"/>
        <v>192.168.10.70</v>
      </c>
      <c r="F60" s="84">
        <v>10</v>
      </c>
      <c r="G60" s="69" t="s">
        <v>31</v>
      </c>
      <c r="H60" s="65" t="s">
        <v>87</v>
      </c>
      <c r="I60" s="12" t="s">
        <v>40</v>
      </c>
      <c r="J60" s="55" t="s">
        <v>117</v>
      </c>
      <c r="K60" s="59"/>
      <c r="L60" s="89"/>
      <c r="M60" s="10"/>
      <c r="N60" s="10"/>
      <c r="O60" s="23">
        <v>20</v>
      </c>
      <c r="P60" t="s">
        <v>76</v>
      </c>
      <c r="Q60" s="13"/>
      <c r="R60" s="13"/>
    </row>
    <row r="61" spans="1:18" x14ac:dyDescent="0.25">
      <c r="A61" s="1" t="str">
        <f t="shared" si="16"/>
        <v>ШСАУ</v>
      </c>
      <c r="B61" s="35">
        <f t="shared" si="17"/>
        <v>3</v>
      </c>
      <c r="C61" s="35" t="str">
        <f t="shared" si="18"/>
        <v>А4.7</v>
      </c>
      <c r="D61" s="35" t="str">
        <f t="shared" si="19"/>
        <v>DO</v>
      </c>
      <c r="E61" s="35" t="str">
        <f t="shared" si="20"/>
        <v>192.168.10.70</v>
      </c>
      <c r="F61" s="84">
        <v>11</v>
      </c>
      <c r="G61" s="69" t="s">
        <v>31</v>
      </c>
      <c r="H61" s="67" t="s">
        <v>1</v>
      </c>
      <c r="I61" s="12" t="s">
        <v>40</v>
      </c>
      <c r="J61" s="55" t="s">
        <v>117</v>
      </c>
      <c r="K61" s="59"/>
      <c r="L61" s="89"/>
      <c r="M61" s="10"/>
      <c r="N61" s="10"/>
      <c r="O61" s="23">
        <v>20</v>
      </c>
      <c r="P61"/>
      <c r="Q61" s="13"/>
      <c r="R61" s="13"/>
    </row>
    <row r="62" spans="1:18" x14ac:dyDescent="0.25">
      <c r="A62" s="1" t="str">
        <f t="shared" si="16"/>
        <v>ШСАУ</v>
      </c>
      <c r="B62" s="35">
        <f t="shared" si="17"/>
        <v>3</v>
      </c>
      <c r="C62" s="35" t="str">
        <f t="shared" si="18"/>
        <v>А4.7</v>
      </c>
      <c r="D62" s="35" t="str">
        <f t="shared" si="19"/>
        <v>DO</v>
      </c>
      <c r="E62" s="35" t="str">
        <f t="shared" si="20"/>
        <v>192.168.10.70</v>
      </c>
      <c r="F62" s="84">
        <v>12</v>
      </c>
      <c r="G62" s="69" t="s">
        <v>31</v>
      </c>
      <c r="H62" s="67" t="s">
        <v>1</v>
      </c>
      <c r="I62" s="12" t="s">
        <v>40</v>
      </c>
      <c r="J62" s="55" t="s">
        <v>117</v>
      </c>
      <c r="K62" s="59"/>
      <c r="L62" s="89"/>
      <c r="M62" s="10"/>
      <c r="N62" s="10"/>
      <c r="O62" s="23">
        <v>20</v>
      </c>
      <c r="P62" s="14"/>
      <c r="Q62" s="13"/>
      <c r="R62" s="13"/>
    </row>
    <row r="63" spans="1:18" x14ac:dyDescent="0.25">
      <c r="A63" s="1" t="str">
        <f t="shared" si="16"/>
        <v>ШСАУ</v>
      </c>
      <c r="B63" s="35">
        <f t="shared" si="17"/>
        <v>3</v>
      </c>
      <c r="C63" s="35" t="str">
        <f t="shared" si="18"/>
        <v>А4.7</v>
      </c>
      <c r="D63" s="35" t="str">
        <f t="shared" si="19"/>
        <v>DO</v>
      </c>
      <c r="E63" s="35" t="str">
        <f t="shared" si="20"/>
        <v>192.168.10.70</v>
      </c>
      <c r="F63" s="84">
        <v>13</v>
      </c>
      <c r="G63" s="69" t="s">
        <v>31</v>
      </c>
      <c r="H63" s="67" t="s">
        <v>1</v>
      </c>
      <c r="I63" s="12" t="s">
        <v>40</v>
      </c>
      <c r="J63" s="55" t="s">
        <v>117</v>
      </c>
      <c r="K63" s="59"/>
      <c r="L63" s="89"/>
      <c r="M63" s="10"/>
      <c r="N63" s="10"/>
      <c r="O63" s="23">
        <v>20</v>
      </c>
      <c r="P63" s="14"/>
      <c r="Q63" s="13"/>
      <c r="R63" s="13"/>
    </row>
    <row r="64" spans="1:18" x14ac:dyDescent="0.25">
      <c r="A64" s="1" t="str">
        <f t="shared" si="16"/>
        <v>ШСАУ</v>
      </c>
      <c r="B64" s="35">
        <f t="shared" si="17"/>
        <v>3</v>
      </c>
      <c r="C64" s="35" t="str">
        <f t="shared" si="18"/>
        <v>А4.7</v>
      </c>
      <c r="D64" s="35" t="str">
        <f t="shared" si="19"/>
        <v>DO</v>
      </c>
      <c r="E64" s="35" t="str">
        <f t="shared" si="20"/>
        <v>192.168.10.70</v>
      </c>
      <c r="F64" s="84">
        <v>14</v>
      </c>
      <c r="G64" s="69" t="s">
        <v>31</v>
      </c>
      <c r="H64" s="67" t="s">
        <v>1</v>
      </c>
      <c r="I64" s="12" t="s">
        <v>40</v>
      </c>
      <c r="J64" s="55" t="s">
        <v>117</v>
      </c>
      <c r="K64" s="59"/>
      <c r="L64" s="89"/>
      <c r="M64" s="10"/>
      <c r="N64" s="10"/>
      <c r="O64" s="23">
        <v>20</v>
      </c>
      <c r="P64" s="14"/>
      <c r="Q64" s="13"/>
      <c r="R64" s="13"/>
    </row>
    <row r="65" spans="1:18" x14ac:dyDescent="0.25">
      <c r="A65" s="1" t="str">
        <f t="shared" si="16"/>
        <v>ШСАУ</v>
      </c>
      <c r="B65" s="35">
        <f t="shared" si="17"/>
        <v>3</v>
      </c>
      <c r="C65" s="35" t="str">
        <f t="shared" si="18"/>
        <v>А4.7</v>
      </c>
      <c r="D65" s="35" t="str">
        <f t="shared" si="19"/>
        <v>DO</v>
      </c>
      <c r="E65" s="35" t="str">
        <f t="shared" si="20"/>
        <v>192.168.10.70</v>
      </c>
      <c r="F65" s="84">
        <v>15</v>
      </c>
      <c r="G65" s="69" t="s">
        <v>31</v>
      </c>
      <c r="H65" s="67" t="s">
        <v>1</v>
      </c>
      <c r="I65" s="12" t="s">
        <v>40</v>
      </c>
      <c r="J65" s="55" t="s">
        <v>117</v>
      </c>
      <c r="K65" s="58"/>
      <c r="L65" s="89"/>
      <c r="M65" s="10"/>
      <c r="N65" s="10"/>
      <c r="O65" s="23">
        <v>20</v>
      </c>
      <c r="P65" s="14"/>
      <c r="Q65" s="13"/>
      <c r="R65" s="13"/>
    </row>
    <row r="66" spans="1:18" ht="15.75" thickBot="1" x14ac:dyDescent="0.3">
      <c r="A66" s="1" t="str">
        <f>A65</f>
        <v>ШСАУ</v>
      </c>
      <c r="B66" s="35">
        <f t="shared" si="17"/>
        <v>3</v>
      </c>
      <c r="C66" s="35" t="str">
        <f t="shared" si="18"/>
        <v>А4.7</v>
      </c>
      <c r="D66" s="35" t="str">
        <f t="shared" si="19"/>
        <v>DO</v>
      </c>
      <c r="E66" s="35" t="str">
        <f>E65</f>
        <v>192.168.10.70</v>
      </c>
      <c r="F66" s="84">
        <v>16</v>
      </c>
      <c r="G66" s="69" t="s">
        <v>31</v>
      </c>
      <c r="H66" s="67" t="s">
        <v>1</v>
      </c>
      <c r="I66" s="12" t="s">
        <v>40</v>
      </c>
      <c r="J66" s="55" t="s">
        <v>117</v>
      </c>
      <c r="K66" s="58"/>
      <c r="L66" s="89"/>
      <c r="M66" s="10"/>
      <c r="N66" s="10"/>
      <c r="O66" s="23">
        <v>20</v>
      </c>
      <c r="P66" s="14"/>
      <c r="Q66" s="13"/>
      <c r="R66" s="13"/>
    </row>
    <row r="67" spans="1:18" x14ac:dyDescent="0.25">
      <c r="A67" s="44" t="s">
        <v>152</v>
      </c>
      <c r="B67" s="45">
        <v>4</v>
      </c>
      <c r="C67" s="45" t="s">
        <v>92</v>
      </c>
      <c r="D67" s="46" t="s">
        <v>11</v>
      </c>
      <c r="E67" s="45" t="s">
        <v>154</v>
      </c>
      <c r="F67" s="83">
        <v>1</v>
      </c>
      <c r="G67" s="68" t="s">
        <v>31</v>
      </c>
      <c r="H67" s="63" t="s">
        <v>34</v>
      </c>
      <c r="I67" s="175" t="s">
        <v>148</v>
      </c>
      <c r="J67" s="173" t="s">
        <v>149</v>
      </c>
      <c r="K67" s="57"/>
      <c r="L67" s="88"/>
      <c r="M67" s="92"/>
      <c r="N67" s="92"/>
      <c r="O67" s="22">
        <v>22</v>
      </c>
      <c r="P67" t="s">
        <v>76</v>
      </c>
      <c r="Q67" s="13" t="s">
        <v>94</v>
      </c>
      <c r="R67" s="13"/>
    </row>
    <row r="68" spans="1:18" x14ac:dyDescent="0.25">
      <c r="A68" s="1" t="str">
        <f>A67</f>
        <v>ШСАУ</v>
      </c>
      <c r="B68" s="35">
        <f>B67</f>
        <v>4</v>
      </c>
      <c r="C68" s="35" t="str">
        <f>C67</f>
        <v>А4.8</v>
      </c>
      <c r="D68" s="35" t="str">
        <f>D67</f>
        <v>DI</v>
      </c>
      <c r="E68" s="35" t="str">
        <f>E67</f>
        <v>192.168.10.70</v>
      </c>
      <c r="F68" s="84">
        <v>2</v>
      </c>
      <c r="G68" s="69" t="s">
        <v>13</v>
      </c>
      <c r="H68" s="65" t="s">
        <v>32</v>
      </c>
      <c r="I68" s="7"/>
      <c r="J68" s="86"/>
      <c r="K68" s="58"/>
      <c r="L68" s="89"/>
      <c r="M68" s="8"/>
      <c r="N68" s="8"/>
      <c r="O68" s="23">
        <v>22</v>
      </c>
      <c r="P68" t="s">
        <v>44</v>
      </c>
      <c r="Q68" s="13" t="s">
        <v>95</v>
      </c>
      <c r="R68" s="13"/>
    </row>
    <row r="69" spans="1:18" x14ac:dyDescent="0.25">
      <c r="A69" s="1" t="str">
        <f t="shared" ref="A69:A74" si="21">A68</f>
        <v>ШСАУ</v>
      </c>
      <c r="B69" s="35">
        <f t="shared" ref="B69:B74" si="22">B68</f>
        <v>4</v>
      </c>
      <c r="C69" s="35" t="str">
        <f t="shared" ref="C69:C74" si="23">C68</f>
        <v>А4.8</v>
      </c>
      <c r="D69" s="35" t="str">
        <f t="shared" ref="D69:D74" si="24">D68</f>
        <v>DI</v>
      </c>
      <c r="E69" s="35" t="str">
        <f t="shared" ref="E69:E74" si="25">E68</f>
        <v>192.168.10.70</v>
      </c>
      <c r="F69" s="84">
        <v>3</v>
      </c>
      <c r="G69" s="69" t="s">
        <v>13</v>
      </c>
      <c r="H69" s="65" t="s">
        <v>14</v>
      </c>
      <c r="I69" s="4"/>
      <c r="J69" s="55"/>
      <c r="K69" s="58"/>
      <c r="L69" s="89"/>
      <c r="M69" s="5"/>
      <c r="N69" s="5"/>
      <c r="O69" s="23">
        <v>22</v>
      </c>
      <c r="P69" t="s">
        <v>44</v>
      </c>
      <c r="Q69" s="13"/>
      <c r="R69" s="13"/>
    </row>
    <row r="70" spans="1:18" x14ac:dyDescent="0.25">
      <c r="A70" s="1" t="str">
        <f t="shared" si="21"/>
        <v>ШСАУ</v>
      </c>
      <c r="B70" s="35">
        <f t="shared" si="22"/>
        <v>4</v>
      </c>
      <c r="C70" s="35" t="str">
        <f t="shared" si="23"/>
        <v>А4.8</v>
      </c>
      <c r="D70" s="35" t="str">
        <f t="shared" si="24"/>
        <v>DI</v>
      </c>
      <c r="E70" s="35" t="str">
        <f t="shared" si="25"/>
        <v>192.168.10.70</v>
      </c>
      <c r="F70" s="84">
        <v>4</v>
      </c>
      <c r="G70" s="69" t="s">
        <v>31</v>
      </c>
      <c r="H70" s="65" t="s">
        <v>70</v>
      </c>
      <c r="I70" s="176" t="s">
        <v>148</v>
      </c>
      <c r="J70" s="174" t="s">
        <v>149</v>
      </c>
      <c r="K70" s="58"/>
      <c r="L70" s="89"/>
      <c r="M70" s="8"/>
      <c r="N70" s="8"/>
      <c r="O70" s="23">
        <v>22</v>
      </c>
      <c r="P70" t="s">
        <v>76</v>
      </c>
      <c r="Q70" s="13" t="s">
        <v>33</v>
      </c>
      <c r="R70" s="13"/>
    </row>
    <row r="71" spans="1:18" x14ac:dyDescent="0.25">
      <c r="A71" s="1" t="str">
        <f t="shared" si="21"/>
        <v>ШСАУ</v>
      </c>
      <c r="B71" s="35">
        <f t="shared" si="22"/>
        <v>4</v>
      </c>
      <c r="C71" s="35" t="str">
        <f t="shared" si="23"/>
        <v>А4.8</v>
      </c>
      <c r="D71" s="35" t="str">
        <f t="shared" si="24"/>
        <v>DI</v>
      </c>
      <c r="E71" s="35" t="str">
        <f t="shared" si="25"/>
        <v>192.168.10.70</v>
      </c>
      <c r="F71" s="84">
        <v>5</v>
      </c>
      <c r="G71" s="69" t="s">
        <v>13</v>
      </c>
      <c r="H71" s="67" t="s">
        <v>150</v>
      </c>
      <c r="I71" s="20" t="s">
        <v>16</v>
      </c>
      <c r="J71" s="53" t="s">
        <v>16</v>
      </c>
      <c r="K71" s="58"/>
      <c r="L71" s="89"/>
      <c r="M71" s="5"/>
      <c r="N71" s="5"/>
      <c r="O71" s="23">
        <v>22</v>
      </c>
      <c r="P71" t="s">
        <v>102</v>
      </c>
      <c r="Q71" s="13"/>
      <c r="R71" s="13"/>
    </row>
    <row r="72" spans="1:18" x14ac:dyDescent="0.25">
      <c r="A72" s="1" t="str">
        <f t="shared" si="21"/>
        <v>ШСАУ</v>
      </c>
      <c r="B72" s="35">
        <f t="shared" si="22"/>
        <v>4</v>
      </c>
      <c r="C72" s="35" t="str">
        <f t="shared" si="23"/>
        <v>А4.8</v>
      </c>
      <c r="D72" s="35" t="str">
        <f t="shared" si="24"/>
        <v>DI</v>
      </c>
      <c r="E72" s="35" t="str">
        <f t="shared" si="25"/>
        <v>192.168.10.70</v>
      </c>
      <c r="F72" s="84">
        <v>6</v>
      </c>
      <c r="G72" s="69" t="s">
        <v>13</v>
      </c>
      <c r="H72" s="67" t="s">
        <v>66</v>
      </c>
      <c r="I72" s="20" t="s">
        <v>16</v>
      </c>
      <c r="J72" s="53" t="s">
        <v>16</v>
      </c>
      <c r="K72" s="58"/>
      <c r="L72" s="89"/>
      <c r="M72" s="5"/>
      <c r="N72" s="5"/>
      <c r="O72" s="23">
        <v>22</v>
      </c>
      <c r="P72" t="s">
        <v>102</v>
      </c>
      <c r="Q72" s="13"/>
      <c r="R72" s="13"/>
    </row>
    <row r="73" spans="1:18" x14ac:dyDescent="0.25">
      <c r="A73" s="1" t="str">
        <f t="shared" si="21"/>
        <v>ШСАУ</v>
      </c>
      <c r="B73" s="35">
        <f t="shared" si="22"/>
        <v>4</v>
      </c>
      <c r="C73" s="35" t="str">
        <f t="shared" si="23"/>
        <v>А4.8</v>
      </c>
      <c r="D73" s="35" t="str">
        <f t="shared" si="24"/>
        <v>DI</v>
      </c>
      <c r="E73" s="35" t="str">
        <f t="shared" si="25"/>
        <v>192.168.10.70</v>
      </c>
      <c r="F73" s="84">
        <v>7</v>
      </c>
      <c r="G73" s="69" t="s">
        <v>13</v>
      </c>
      <c r="H73" s="67" t="s">
        <v>150</v>
      </c>
      <c r="I73" s="12" t="s">
        <v>3</v>
      </c>
      <c r="J73" s="55" t="s">
        <v>3</v>
      </c>
      <c r="K73" s="58"/>
      <c r="L73" s="89"/>
      <c r="M73" s="10"/>
      <c r="N73" s="10"/>
      <c r="O73" s="23">
        <v>22</v>
      </c>
      <c r="P73" t="s">
        <v>102</v>
      </c>
      <c r="Q73" s="13"/>
      <c r="R73" s="13"/>
    </row>
    <row r="74" spans="1:18" ht="15.75" thickBot="1" x14ac:dyDescent="0.3">
      <c r="A74" s="1" t="str">
        <f t="shared" si="21"/>
        <v>ШСАУ</v>
      </c>
      <c r="B74" s="35">
        <f t="shared" si="22"/>
        <v>4</v>
      </c>
      <c r="C74" s="35" t="str">
        <f t="shared" si="23"/>
        <v>А4.8</v>
      </c>
      <c r="D74" s="35" t="str">
        <f t="shared" si="24"/>
        <v>DI</v>
      </c>
      <c r="E74" s="35" t="str">
        <f t="shared" si="25"/>
        <v>192.168.10.70</v>
      </c>
      <c r="F74" s="84">
        <v>8</v>
      </c>
      <c r="G74" s="69" t="s">
        <v>13</v>
      </c>
      <c r="H74" s="67" t="s">
        <v>66</v>
      </c>
      <c r="I74" s="4" t="s">
        <v>3</v>
      </c>
      <c r="J74" s="55" t="s">
        <v>3</v>
      </c>
      <c r="K74" s="58"/>
      <c r="L74" s="89"/>
      <c r="M74" s="5"/>
      <c r="N74" s="5"/>
      <c r="O74" s="23">
        <v>22</v>
      </c>
      <c r="P74"/>
      <c r="Q74" s="13"/>
      <c r="R74" s="13"/>
    </row>
    <row r="75" spans="1:18" x14ac:dyDescent="0.25">
      <c r="A75" s="44" t="s">
        <v>152</v>
      </c>
      <c r="B75" s="45">
        <v>4</v>
      </c>
      <c r="C75" s="45" t="s">
        <v>92</v>
      </c>
      <c r="D75" s="46" t="s">
        <v>15</v>
      </c>
      <c r="E75" s="45" t="s">
        <v>154</v>
      </c>
      <c r="F75" s="178">
        <v>1</v>
      </c>
      <c r="G75" s="68" t="s">
        <v>13</v>
      </c>
      <c r="H75" s="63" t="s">
        <v>26</v>
      </c>
      <c r="I75" s="78"/>
      <c r="J75" s="90"/>
      <c r="K75" s="57"/>
      <c r="L75" s="88"/>
      <c r="M75" s="79"/>
      <c r="N75" s="79"/>
      <c r="O75" s="22">
        <v>23</v>
      </c>
      <c r="P75" s="14"/>
      <c r="Q75" s="13"/>
      <c r="R75" s="13"/>
    </row>
    <row r="76" spans="1:18" x14ac:dyDescent="0.25">
      <c r="A76" s="1" t="str">
        <f>A75</f>
        <v>ШСАУ</v>
      </c>
      <c r="B76" s="35">
        <f>B75</f>
        <v>4</v>
      </c>
      <c r="C76" s="35" t="str">
        <f>C75</f>
        <v>А4.8</v>
      </c>
      <c r="D76" s="35" t="str">
        <f>D75</f>
        <v>DO</v>
      </c>
      <c r="E76" s="35" t="str">
        <f>E75</f>
        <v>192.168.10.70</v>
      </c>
      <c r="F76" s="179">
        <v>2</v>
      </c>
      <c r="G76" s="69" t="s">
        <v>13</v>
      </c>
      <c r="H76" s="65" t="s">
        <v>27</v>
      </c>
      <c r="I76" s="9"/>
      <c r="J76" s="87"/>
      <c r="K76" s="58"/>
      <c r="L76" s="89"/>
      <c r="M76" s="10"/>
      <c r="N76" s="10"/>
      <c r="O76" s="23">
        <v>23</v>
      </c>
      <c r="P76" s="14"/>
      <c r="Q76" s="13"/>
      <c r="R76" s="13"/>
    </row>
    <row r="77" spans="1:18" x14ac:dyDescent="0.25">
      <c r="A77" s="1" t="str">
        <f t="shared" ref="A77:A82" si="26">A76</f>
        <v>ШСАУ</v>
      </c>
      <c r="B77" s="35">
        <f t="shared" ref="B77:B82" si="27">B76</f>
        <v>4</v>
      </c>
      <c r="C77" s="35" t="str">
        <f t="shared" ref="C77:C82" si="28">C76</f>
        <v>А4.8</v>
      </c>
      <c r="D77" s="35" t="str">
        <f t="shared" ref="D77:D82" si="29">D76</f>
        <v>DO</v>
      </c>
      <c r="E77" s="35" t="str">
        <f t="shared" ref="E77:E82" si="30">E76</f>
        <v>192.168.10.70</v>
      </c>
      <c r="F77" s="179">
        <v>3</v>
      </c>
      <c r="G77" s="69" t="s">
        <v>13</v>
      </c>
      <c r="H77" s="65" t="s">
        <v>28</v>
      </c>
      <c r="I77" s="9"/>
      <c r="J77" s="87"/>
      <c r="K77" s="58"/>
      <c r="L77" s="89"/>
      <c r="M77" s="10"/>
      <c r="N77" s="10"/>
      <c r="O77" s="23">
        <v>23</v>
      </c>
      <c r="P77" s="14"/>
      <c r="Q77" s="13"/>
      <c r="R77" s="13"/>
    </row>
    <row r="78" spans="1:18" x14ac:dyDescent="0.25">
      <c r="A78" s="1" t="str">
        <f t="shared" si="26"/>
        <v>ШСАУ</v>
      </c>
      <c r="B78" s="35">
        <f t="shared" si="27"/>
        <v>4</v>
      </c>
      <c r="C78" s="35" t="str">
        <f t="shared" si="28"/>
        <v>А4.8</v>
      </c>
      <c r="D78" s="35" t="str">
        <f t="shared" si="29"/>
        <v>DO</v>
      </c>
      <c r="E78" s="35" t="str">
        <f t="shared" si="30"/>
        <v>192.168.10.70</v>
      </c>
      <c r="F78" s="179">
        <v>4</v>
      </c>
      <c r="G78" s="69" t="s">
        <v>13</v>
      </c>
      <c r="H78" s="65" t="s">
        <v>29</v>
      </c>
      <c r="I78" s="9"/>
      <c r="J78" s="87"/>
      <c r="K78" s="58"/>
      <c r="L78" s="89"/>
      <c r="M78" s="10"/>
      <c r="N78" s="10"/>
      <c r="O78" s="23">
        <v>23</v>
      </c>
      <c r="P78" s="14"/>
      <c r="Q78" s="13"/>
      <c r="R78" s="13"/>
    </row>
    <row r="79" spans="1:18" x14ac:dyDescent="0.25">
      <c r="A79" s="1" t="str">
        <f t="shared" si="26"/>
        <v>ШСАУ</v>
      </c>
      <c r="B79" s="35">
        <f t="shared" si="27"/>
        <v>4</v>
      </c>
      <c r="C79" s="35" t="str">
        <f t="shared" si="28"/>
        <v>А4.8</v>
      </c>
      <c r="D79" s="35" t="str">
        <f t="shared" si="29"/>
        <v>DO</v>
      </c>
      <c r="E79" s="35" t="str">
        <f t="shared" si="30"/>
        <v>192.168.10.70</v>
      </c>
      <c r="F79" s="179">
        <v>5</v>
      </c>
      <c r="G79" s="69" t="s">
        <v>13</v>
      </c>
      <c r="H79" s="65" t="s">
        <v>30</v>
      </c>
      <c r="I79" s="9"/>
      <c r="J79" s="87"/>
      <c r="K79" s="58"/>
      <c r="L79" s="89"/>
      <c r="M79" s="10"/>
      <c r="N79" s="10"/>
      <c r="O79" s="23">
        <v>23</v>
      </c>
      <c r="P79" s="14"/>
      <c r="Q79" s="13"/>
      <c r="R79" s="13"/>
    </row>
    <row r="80" spans="1:18" x14ac:dyDescent="0.25">
      <c r="A80" s="1" t="str">
        <f t="shared" si="26"/>
        <v>ШСАУ</v>
      </c>
      <c r="B80" s="35">
        <f t="shared" si="27"/>
        <v>4</v>
      </c>
      <c r="C80" s="35" t="str">
        <f t="shared" si="28"/>
        <v>А4.8</v>
      </c>
      <c r="D80" s="35" t="str">
        <f t="shared" si="29"/>
        <v>DO</v>
      </c>
      <c r="E80" s="35" t="str">
        <f t="shared" si="30"/>
        <v>192.168.10.70</v>
      </c>
      <c r="F80" s="179">
        <v>6</v>
      </c>
      <c r="G80" s="69"/>
      <c r="H80" s="65" t="s">
        <v>1</v>
      </c>
      <c r="I80" s="20"/>
      <c r="J80" s="53"/>
      <c r="K80" s="58"/>
      <c r="L80" s="89"/>
      <c r="M80" s="10"/>
      <c r="N80" s="10"/>
      <c r="O80" s="23">
        <v>23</v>
      </c>
      <c r="P80" s="14"/>
      <c r="Q80" s="13"/>
      <c r="R80" s="13"/>
    </row>
    <row r="81" spans="1:18" x14ac:dyDescent="0.25">
      <c r="A81" s="1" t="str">
        <f t="shared" si="26"/>
        <v>ШСАУ</v>
      </c>
      <c r="B81" s="35">
        <f t="shared" si="27"/>
        <v>4</v>
      </c>
      <c r="C81" s="35" t="str">
        <f t="shared" si="28"/>
        <v>А4.8</v>
      </c>
      <c r="D81" s="35" t="str">
        <f t="shared" si="29"/>
        <v>DO</v>
      </c>
      <c r="E81" s="35" t="str">
        <f t="shared" si="30"/>
        <v>192.168.10.70</v>
      </c>
      <c r="F81" s="179">
        <v>7</v>
      </c>
      <c r="G81" s="69"/>
      <c r="H81" s="65" t="s">
        <v>1</v>
      </c>
      <c r="I81" s="9"/>
      <c r="J81" s="87"/>
      <c r="K81" s="58"/>
      <c r="L81" s="89"/>
      <c r="M81" s="10"/>
      <c r="N81" s="10"/>
      <c r="O81" s="23">
        <v>23</v>
      </c>
      <c r="P81" s="14"/>
      <c r="Q81" s="13"/>
      <c r="R81" s="13"/>
    </row>
    <row r="82" spans="1:18" ht="15.75" thickBot="1" x14ac:dyDescent="0.3">
      <c r="A82" s="37" t="str">
        <f t="shared" si="26"/>
        <v>ШСАУ</v>
      </c>
      <c r="B82" s="38">
        <f t="shared" si="27"/>
        <v>4</v>
      </c>
      <c r="C82" s="38" t="str">
        <f t="shared" si="28"/>
        <v>А4.8</v>
      </c>
      <c r="D82" s="38" t="str">
        <f t="shared" si="29"/>
        <v>DO</v>
      </c>
      <c r="E82" s="38" t="str">
        <f t="shared" si="30"/>
        <v>192.168.10.70</v>
      </c>
      <c r="F82" s="180">
        <v>8</v>
      </c>
      <c r="G82" s="168"/>
      <c r="H82" s="66" t="s">
        <v>1</v>
      </c>
      <c r="I82" s="169"/>
      <c r="J82" s="170"/>
      <c r="K82" s="62"/>
      <c r="L82" s="171"/>
      <c r="M82" s="172"/>
      <c r="N82" s="172"/>
      <c r="O82" s="24">
        <v>23</v>
      </c>
      <c r="P82" s="14"/>
      <c r="Q82" s="13"/>
      <c r="R82" s="13"/>
    </row>
  </sheetData>
  <autoFilter ref="G1:N2" xr:uid="{8C8F23C1-654A-4BBD-9ADB-E7B0323F9DF4}"/>
  <phoneticPr fontId="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AB30EF-60DB-4121-9D35-78062F89DFDA}">
          <x14:formula1>
            <xm:f>#REF!</xm:f>
          </x14:formula1>
          <xm:sqref>L3:L82 G3:G82</xm:sqref>
        </x14:dataValidation>
        <x14:dataValidation type="list" allowBlank="1" showInputMessage="1" showErrorMessage="1" xr:uid="{54F88339-3E82-46D2-93F4-1F287E6FCE09}">
          <x14:formula1>
            <xm:f>#REF!</xm:f>
          </x14:formula1>
          <xm:sqref>M3:M82</xm:sqref>
        </x14:dataValidation>
        <x14:dataValidation type="list" allowBlank="1" showInputMessage="1" showErrorMessage="1" xr:uid="{93B79FA0-B707-4A7E-9EF1-E7C33F24B424}">
          <x14:formula1>
            <xm:f>#REF!</xm:f>
          </x14:formula1>
          <xm:sqref>N3:N82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ШС</vt:lpstr>
      <vt:lpstr>ШСАУ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Демчук Андрей Витальевич</dc:creator>
  <cp:lastModifiedBy>Nick</cp:lastModifiedBy>
  <dcterms:created xsi:type="dcterms:W3CDTF">2015-06-05T18:19:34Z</dcterms:created>
  <dcterms:modified xsi:type="dcterms:W3CDTF">2026-03-31T08:09:10Z</dcterms:modified>
</cp:coreProperties>
</file>